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ranc\Desktop\International Management\QM\R\"/>
    </mc:Choice>
  </mc:AlternateContent>
  <xr:revisionPtr revIDLastSave="0" documentId="13_ncr:1_{948269D0-F469-42A9-86E0-E38B2A1672E1}" xr6:coauthVersionLast="47" xr6:coauthVersionMax="47" xr10:uidLastSave="{00000000-0000-0000-0000-000000000000}"/>
  <bookViews>
    <workbookView xWindow="-110" yWindow="-110" windowWidth="19420" windowHeight="11020" xr2:uid="{0456D223-97A4-4286-991B-142346AA6CF9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3" i="1" l="1"/>
  <c r="U63" i="1"/>
  <c r="O63" i="1"/>
  <c r="M63" i="1"/>
  <c r="K63" i="1"/>
  <c r="X62" i="1"/>
  <c r="U62" i="1"/>
  <c r="R62" i="1"/>
  <c r="O62" i="1"/>
  <c r="P62" i="1" s="1"/>
  <c r="N62" i="1"/>
  <c r="M62" i="1"/>
  <c r="L62" i="1"/>
  <c r="K62" i="1"/>
  <c r="X61" i="1"/>
  <c r="U61" i="1"/>
  <c r="O61" i="1"/>
  <c r="M61" i="1"/>
  <c r="K61" i="1"/>
  <c r="X60" i="1"/>
  <c r="U60" i="1"/>
  <c r="R60" i="1"/>
  <c r="P60" i="1"/>
  <c r="O60" i="1"/>
  <c r="N60" i="1"/>
  <c r="M60" i="1"/>
  <c r="L60" i="1"/>
  <c r="K60" i="1"/>
  <c r="X59" i="1"/>
  <c r="U59" i="1"/>
  <c r="O59" i="1"/>
  <c r="M59" i="1"/>
  <c r="K59" i="1"/>
  <c r="X58" i="1"/>
  <c r="U58" i="1"/>
  <c r="R58" i="1"/>
  <c r="P58" i="1"/>
  <c r="O58" i="1"/>
  <c r="N58" i="1"/>
  <c r="M58" i="1"/>
  <c r="L58" i="1"/>
  <c r="K58" i="1"/>
  <c r="X57" i="1"/>
  <c r="U57" i="1"/>
  <c r="O57" i="1"/>
  <c r="M57" i="1"/>
  <c r="K57" i="1"/>
  <c r="X56" i="1"/>
  <c r="U56" i="1"/>
  <c r="R56" i="1"/>
  <c r="P56" i="1"/>
  <c r="O56" i="1"/>
  <c r="N56" i="1"/>
  <c r="M56" i="1"/>
  <c r="L56" i="1"/>
  <c r="K56" i="1"/>
  <c r="X55" i="1"/>
  <c r="U55" i="1"/>
  <c r="O55" i="1"/>
  <c r="M55" i="1"/>
  <c r="K55" i="1"/>
  <c r="X54" i="1"/>
  <c r="U54" i="1"/>
  <c r="R54" i="1"/>
  <c r="P54" i="1"/>
  <c r="O54" i="1"/>
  <c r="N54" i="1"/>
  <c r="M54" i="1"/>
  <c r="L54" i="1"/>
  <c r="K54" i="1"/>
  <c r="X53" i="1"/>
  <c r="U53" i="1"/>
  <c r="O53" i="1"/>
  <c r="M53" i="1"/>
  <c r="K53" i="1"/>
  <c r="X52" i="1"/>
  <c r="U52" i="1"/>
  <c r="R52" i="1"/>
  <c r="P52" i="1"/>
  <c r="O52" i="1"/>
  <c r="N52" i="1"/>
  <c r="M52" i="1"/>
  <c r="L52" i="1"/>
  <c r="K52" i="1"/>
  <c r="X51" i="1"/>
  <c r="U51" i="1"/>
  <c r="O51" i="1"/>
  <c r="M51" i="1"/>
  <c r="K51" i="1"/>
  <c r="X50" i="1"/>
  <c r="U50" i="1"/>
  <c r="R50" i="1"/>
  <c r="P50" i="1"/>
  <c r="O50" i="1"/>
  <c r="N50" i="1"/>
  <c r="M50" i="1"/>
  <c r="L50" i="1"/>
  <c r="K50" i="1"/>
  <c r="X49" i="1"/>
  <c r="U49" i="1"/>
  <c r="O49" i="1"/>
  <c r="M49" i="1"/>
  <c r="K49" i="1"/>
  <c r="X48" i="1"/>
  <c r="U48" i="1"/>
  <c r="R48" i="1"/>
  <c r="P48" i="1"/>
  <c r="O48" i="1"/>
  <c r="N48" i="1"/>
  <c r="M48" i="1"/>
  <c r="L48" i="1"/>
  <c r="K48" i="1"/>
  <c r="X47" i="1"/>
  <c r="U47" i="1"/>
  <c r="O47" i="1"/>
  <c r="M47" i="1"/>
  <c r="K47" i="1"/>
  <c r="X46" i="1"/>
  <c r="U46" i="1"/>
  <c r="R46" i="1"/>
  <c r="P46" i="1"/>
  <c r="O46" i="1"/>
  <c r="N46" i="1"/>
  <c r="M46" i="1"/>
  <c r="L46" i="1"/>
  <c r="K46" i="1"/>
  <c r="X45" i="1"/>
  <c r="U45" i="1"/>
  <c r="O45" i="1"/>
  <c r="M45" i="1"/>
  <c r="K45" i="1"/>
  <c r="X44" i="1"/>
  <c r="U44" i="1"/>
  <c r="R44" i="1"/>
  <c r="P44" i="1"/>
  <c r="O44" i="1"/>
  <c r="N44" i="1"/>
  <c r="M44" i="1"/>
  <c r="L44" i="1"/>
  <c r="K44" i="1"/>
  <c r="X43" i="1"/>
  <c r="U43" i="1"/>
  <c r="O43" i="1"/>
  <c r="M43" i="1"/>
  <c r="K43" i="1"/>
  <c r="X42" i="1"/>
  <c r="U42" i="1"/>
  <c r="R42" i="1"/>
  <c r="P42" i="1"/>
  <c r="O42" i="1"/>
  <c r="N42" i="1"/>
  <c r="M42" i="1"/>
  <c r="L42" i="1"/>
  <c r="K42" i="1"/>
  <c r="X41" i="1"/>
  <c r="U41" i="1"/>
  <c r="O41" i="1"/>
  <c r="M41" i="1"/>
  <c r="K41" i="1"/>
  <c r="X40" i="1"/>
  <c r="U40" i="1"/>
  <c r="R40" i="1"/>
  <c r="P40" i="1"/>
  <c r="O40" i="1"/>
  <c r="N40" i="1"/>
  <c r="M40" i="1"/>
  <c r="L40" i="1"/>
  <c r="K40" i="1"/>
  <c r="X39" i="1"/>
  <c r="U39" i="1"/>
  <c r="O39" i="1"/>
  <c r="M39" i="1"/>
  <c r="K39" i="1"/>
  <c r="X38" i="1"/>
  <c r="U38" i="1"/>
  <c r="R38" i="1"/>
  <c r="P38" i="1"/>
  <c r="O38" i="1"/>
  <c r="N38" i="1"/>
  <c r="M38" i="1"/>
  <c r="L38" i="1"/>
  <c r="K38" i="1"/>
  <c r="X37" i="1"/>
  <c r="U37" i="1"/>
  <c r="O37" i="1"/>
  <c r="M37" i="1"/>
  <c r="K37" i="1"/>
  <c r="X36" i="1"/>
  <c r="U36" i="1"/>
  <c r="R36" i="1"/>
  <c r="P36" i="1"/>
  <c r="O36" i="1"/>
  <c r="N36" i="1"/>
  <c r="M36" i="1"/>
  <c r="L36" i="1"/>
  <c r="K36" i="1"/>
  <c r="X35" i="1"/>
  <c r="U35" i="1"/>
  <c r="O35" i="1"/>
  <c r="M35" i="1"/>
  <c r="K35" i="1"/>
  <c r="X34" i="1"/>
  <c r="U34" i="1"/>
  <c r="R34" i="1"/>
  <c r="P34" i="1"/>
  <c r="O34" i="1"/>
  <c r="N34" i="1"/>
  <c r="M34" i="1"/>
  <c r="L34" i="1"/>
  <c r="K34" i="1"/>
  <c r="X33" i="1"/>
  <c r="U33" i="1"/>
  <c r="O33" i="1"/>
  <c r="M33" i="1"/>
  <c r="K33" i="1"/>
  <c r="X32" i="1"/>
  <c r="U32" i="1"/>
  <c r="R32" i="1"/>
  <c r="P32" i="1"/>
  <c r="O32" i="1"/>
  <c r="N32" i="1"/>
  <c r="M32" i="1"/>
  <c r="L32" i="1"/>
  <c r="K32" i="1"/>
  <c r="X31" i="1"/>
  <c r="U31" i="1"/>
  <c r="O31" i="1"/>
  <c r="M31" i="1"/>
  <c r="K31" i="1"/>
  <c r="X30" i="1"/>
  <c r="U30" i="1"/>
  <c r="R30" i="1"/>
  <c r="P30" i="1"/>
  <c r="O30" i="1"/>
  <c r="N30" i="1"/>
  <c r="M30" i="1"/>
  <c r="L30" i="1"/>
  <c r="K30" i="1"/>
  <c r="X29" i="1"/>
  <c r="U29" i="1"/>
  <c r="O29" i="1"/>
  <c r="M29" i="1"/>
  <c r="K29" i="1"/>
  <c r="X28" i="1"/>
  <c r="U28" i="1"/>
  <c r="R28" i="1"/>
  <c r="P28" i="1"/>
  <c r="O28" i="1"/>
  <c r="N28" i="1"/>
  <c r="M28" i="1"/>
  <c r="L28" i="1"/>
  <c r="K28" i="1"/>
  <c r="X27" i="1"/>
  <c r="U27" i="1"/>
  <c r="O27" i="1"/>
  <c r="M27" i="1"/>
  <c r="K27" i="1"/>
  <c r="X26" i="1"/>
  <c r="U26" i="1"/>
  <c r="R26" i="1"/>
  <c r="P26" i="1"/>
  <c r="O26" i="1"/>
  <c r="N26" i="1"/>
  <c r="M26" i="1"/>
  <c r="L26" i="1"/>
  <c r="K26" i="1"/>
  <c r="X25" i="1"/>
  <c r="U25" i="1"/>
  <c r="O25" i="1"/>
  <c r="M25" i="1"/>
  <c r="K25" i="1"/>
  <c r="X24" i="1"/>
  <c r="U24" i="1"/>
  <c r="R24" i="1"/>
  <c r="P24" i="1"/>
  <c r="O24" i="1"/>
  <c r="N24" i="1"/>
  <c r="M24" i="1"/>
  <c r="L24" i="1"/>
  <c r="K24" i="1"/>
  <c r="X23" i="1"/>
  <c r="U23" i="1"/>
  <c r="O23" i="1"/>
  <c r="M23" i="1"/>
  <c r="K23" i="1"/>
  <c r="X22" i="1"/>
  <c r="U22" i="1"/>
  <c r="R22" i="1"/>
  <c r="P22" i="1"/>
  <c r="O22" i="1"/>
  <c r="N22" i="1"/>
  <c r="M22" i="1"/>
  <c r="L22" i="1"/>
  <c r="K22" i="1"/>
  <c r="X21" i="1"/>
  <c r="U21" i="1"/>
  <c r="O21" i="1"/>
  <c r="M21" i="1"/>
  <c r="K21" i="1"/>
  <c r="X20" i="1"/>
  <c r="U20" i="1"/>
  <c r="R20" i="1"/>
  <c r="P20" i="1"/>
  <c r="O20" i="1"/>
  <c r="N20" i="1"/>
  <c r="M20" i="1"/>
  <c r="L20" i="1"/>
  <c r="K20" i="1"/>
  <c r="X19" i="1"/>
  <c r="U19" i="1"/>
  <c r="O19" i="1"/>
  <c r="M19" i="1"/>
  <c r="K19" i="1"/>
  <c r="X18" i="1"/>
  <c r="U18" i="1"/>
  <c r="R18" i="1"/>
  <c r="P18" i="1"/>
  <c r="O18" i="1"/>
  <c r="N18" i="1"/>
  <c r="M18" i="1"/>
  <c r="L18" i="1"/>
  <c r="K18" i="1"/>
  <c r="X17" i="1"/>
  <c r="U17" i="1"/>
  <c r="O17" i="1"/>
  <c r="M17" i="1"/>
  <c r="K17" i="1"/>
  <c r="X16" i="1"/>
  <c r="U16" i="1"/>
  <c r="R16" i="1"/>
  <c r="P16" i="1"/>
  <c r="O16" i="1"/>
  <c r="N16" i="1"/>
  <c r="M16" i="1"/>
  <c r="L16" i="1"/>
  <c r="K16" i="1"/>
  <c r="X15" i="1"/>
  <c r="U15" i="1"/>
  <c r="O15" i="1"/>
  <c r="M15" i="1"/>
  <c r="K15" i="1"/>
  <c r="X14" i="1"/>
  <c r="U14" i="1"/>
  <c r="R14" i="1"/>
  <c r="P14" i="1"/>
  <c r="O14" i="1"/>
  <c r="N14" i="1"/>
  <c r="M14" i="1"/>
  <c r="L14" i="1"/>
  <c r="K14" i="1"/>
  <c r="X13" i="1"/>
  <c r="U13" i="1"/>
  <c r="O13" i="1"/>
  <c r="M13" i="1"/>
  <c r="K13" i="1"/>
  <c r="X12" i="1"/>
  <c r="U12" i="1"/>
  <c r="R12" i="1"/>
  <c r="P12" i="1"/>
  <c r="O12" i="1"/>
  <c r="N12" i="1"/>
  <c r="M12" i="1"/>
  <c r="L12" i="1"/>
  <c r="K12" i="1"/>
  <c r="X11" i="1"/>
  <c r="U11" i="1"/>
  <c r="O11" i="1"/>
  <c r="M11" i="1"/>
  <c r="K11" i="1"/>
  <c r="X10" i="1"/>
  <c r="U10" i="1"/>
  <c r="R10" i="1"/>
  <c r="P10" i="1"/>
  <c r="O10" i="1"/>
  <c r="N10" i="1"/>
  <c r="M10" i="1"/>
  <c r="L10" i="1"/>
  <c r="K10" i="1"/>
  <c r="X9" i="1"/>
  <c r="U9" i="1"/>
  <c r="O9" i="1"/>
  <c r="M9" i="1"/>
  <c r="K9" i="1"/>
  <c r="X8" i="1"/>
  <c r="U8" i="1"/>
  <c r="R8" i="1"/>
  <c r="P8" i="1"/>
  <c r="O8" i="1"/>
  <c r="N8" i="1"/>
  <c r="M8" i="1"/>
  <c r="L8" i="1"/>
  <c r="K8" i="1"/>
  <c r="X7" i="1"/>
  <c r="U7" i="1"/>
  <c r="O7" i="1"/>
  <c r="P6" i="1" s="1"/>
  <c r="M7" i="1"/>
  <c r="K7" i="1"/>
  <c r="X6" i="1"/>
  <c r="U6" i="1"/>
  <c r="R6" i="1"/>
  <c r="O6" i="1"/>
  <c r="N6" i="1"/>
  <c r="M6" i="1"/>
  <c r="L6" i="1"/>
  <c r="K6" i="1"/>
  <c r="X5" i="1"/>
  <c r="U5" i="1"/>
  <c r="O5" i="1"/>
  <c r="M5" i="1"/>
  <c r="K5" i="1"/>
  <c r="X4" i="1"/>
  <c r="V4" i="1"/>
  <c r="V6" i="1" s="1"/>
  <c r="V8" i="1" s="1"/>
  <c r="V10" i="1" s="1"/>
  <c r="V12" i="1" s="1"/>
  <c r="V14" i="1" s="1"/>
  <c r="V16" i="1" s="1"/>
  <c r="V18" i="1" s="1"/>
  <c r="V20" i="1" s="1"/>
  <c r="V22" i="1" s="1"/>
  <c r="V24" i="1" s="1"/>
  <c r="V26" i="1" s="1"/>
  <c r="V28" i="1" s="1"/>
  <c r="V30" i="1" s="1"/>
  <c r="V32" i="1" s="1"/>
  <c r="V34" i="1" s="1"/>
  <c r="V36" i="1" s="1"/>
  <c r="V38" i="1" s="1"/>
  <c r="V40" i="1" s="1"/>
  <c r="V42" i="1" s="1"/>
  <c r="V44" i="1" s="1"/>
  <c r="V46" i="1" s="1"/>
  <c r="V48" i="1" s="1"/>
  <c r="V50" i="1" s="1"/>
  <c r="V52" i="1" s="1"/>
  <c r="V54" i="1" s="1"/>
  <c r="V56" i="1" s="1"/>
  <c r="V58" i="1" s="1"/>
  <c r="V60" i="1" s="1"/>
  <c r="V62" i="1" s="1"/>
  <c r="U4" i="1"/>
  <c r="R4" i="1"/>
  <c r="P4" i="1"/>
  <c r="O4" i="1"/>
  <c r="N4" i="1"/>
  <c r="M4" i="1"/>
  <c r="L4" i="1"/>
  <c r="K4" i="1"/>
  <c r="X3" i="1"/>
  <c r="U3" i="1"/>
  <c r="O3" i="1"/>
  <c r="P2" i="1" s="1"/>
  <c r="M3" i="1"/>
  <c r="K3" i="1"/>
  <c r="X2" i="1"/>
  <c r="U2" i="1"/>
  <c r="S4" i="1" s="1"/>
  <c r="S6" i="1" s="1"/>
  <c r="S8" i="1" s="1"/>
  <c r="S10" i="1" s="1"/>
  <c r="S12" i="1" s="1"/>
  <c r="S14" i="1" s="1"/>
  <c r="S16" i="1" s="1"/>
  <c r="S18" i="1" s="1"/>
  <c r="S20" i="1" s="1"/>
  <c r="S22" i="1" s="1"/>
  <c r="S24" i="1" s="1"/>
  <c r="S26" i="1" s="1"/>
  <c r="S28" i="1" s="1"/>
  <c r="S30" i="1" s="1"/>
  <c r="S32" i="1" s="1"/>
  <c r="S34" i="1" s="1"/>
  <c r="S36" i="1" s="1"/>
  <c r="S38" i="1" s="1"/>
  <c r="S40" i="1" s="1"/>
  <c r="S42" i="1" s="1"/>
  <c r="S44" i="1" s="1"/>
  <c r="S46" i="1" s="1"/>
  <c r="S48" i="1" s="1"/>
  <c r="S50" i="1" s="1"/>
  <c r="S52" i="1" s="1"/>
  <c r="S54" i="1" s="1"/>
  <c r="S56" i="1" s="1"/>
  <c r="S58" i="1" s="1"/>
  <c r="S60" i="1" s="1"/>
  <c r="S62" i="1" s="1"/>
  <c r="R2" i="1"/>
  <c r="O2" i="1"/>
  <c r="N2" i="1"/>
  <c r="M2" i="1"/>
  <c r="L2" i="1"/>
  <c r="K2" i="1"/>
</calcChain>
</file>

<file path=xl/sharedStrings.xml><?xml version="1.0" encoding="utf-8"?>
<sst xmlns="http://schemas.openxmlformats.org/spreadsheetml/2006/main" count="86" uniqueCount="27">
  <si>
    <t>date</t>
  </si>
  <si>
    <t>product</t>
  </si>
  <si>
    <t>price</t>
  </si>
  <si>
    <t>costs</t>
  </si>
  <si>
    <t>unit margin (p-c)</t>
  </si>
  <si>
    <t>time</t>
  </si>
  <si>
    <t>flour</t>
  </si>
  <si>
    <t>yeast</t>
  </si>
  <si>
    <t>quantity produced</t>
  </si>
  <si>
    <t>demand</t>
  </si>
  <si>
    <t>real profit</t>
  </si>
  <si>
    <t>daily real profit</t>
  </si>
  <si>
    <t>max profit</t>
  </si>
  <si>
    <t>daily max profit</t>
  </si>
  <si>
    <t>real used time(h)</t>
  </si>
  <si>
    <t>total real used time (h)</t>
  </si>
  <si>
    <t>available time (h)</t>
  </si>
  <si>
    <t>available time per day(h)</t>
  </si>
  <si>
    <t xml:space="preserve">available flour </t>
  </si>
  <si>
    <t xml:space="preserve">flour orders </t>
  </si>
  <si>
    <t xml:space="preserve">Flour used per day </t>
  </si>
  <si>
    <t xml:space="preserve">Available yeats </t>
  </si>
  <si>
    <t xml:space="preserve">Yeats order </t>
  </si>
  <si>
    <t xml:space="preserve">bread </t>
  </si>
  <si>
    <t xml:space="preserve">sweets </t>
  </si>
  <si>
    <t xml:space="preserve">sweets 
</t>
  </si>
  <si>
    <t xml:space="preserve">yeast used per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</si>
</sst>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#,##0.00\ &quot;€&quot;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rgb="FF000000"/>
      </bottom>
      <diagonal/>
    </border>
    <border>
      <left/>
      <right/>
      <top style="thin">
        <color theme="2" tint="-0.249977111117893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164" fontId="0" fillId="2" borderId="1" xfId="0" applyNumberFormat="1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 wrapText="1"/>
    </xf>
    <xf numFmtId="165" fontId="0" fillId="4" borderId="3" xfId="0" applyNumberFormat="1" applyFill="1" applyBorder="1" applyAlignment="1">
      <alignment horizontal="center" vertical="center" wrapText="1"/>
    </xf>
    <xf numFmtId="165" fontId="0" fillId="4" borderId="2" xfId="0" applyNumberForma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165" fontId="0" fillId="4" borderId="1" xfId="0" applyNumberFormat="1" applyFill="1" applyBorder="1" applyAlignment="1">
      <alignment horizontal="center" vertical="center" wrapText="1"/>
    </xf>
    <xf numFmtId="165" fontId="0" fillId="4" borderId="4" xfId="0" applyNumberFormat="1" applyFill="1" applyBorder="1" applyAlignment="1">
      <alignment horizontal="center" vertical="center" wrapText="1"/>
    </xf>
    <xf numFmtId="2" fontId="0" fillId="7" borderId="3" xfId="0" applyNumberFormat="1" applyFill="1" applyBorder="1" applyAlignment="1">
      <alignment horizontal="center" vertical="center" wrapText="1"/>
    </xf>
    <xf numFmtId="2" fontId="0" fillId="7" borderId="1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4" fontId="0" fillId="2" borderId="1" xfId="0" applyNumberFormat="1" applyFill="1" applyBorder="1" applyAlignment="1">
      <alignment vertical="center"/>
    </xf>
    <xf numFmtId="0" fontId="0" fillId="3" borderId="2" xfId="0" applyFill="1" applyBorder="1" applyAlignment="1">
      <alignment horizontal="center" vertical="top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5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top" wrapText="1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lef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E697-C164-4F36-9FC4-88671449FA53}">
  <dimension ref="A1:X63"/>
  <sheetViews>
    <sheetView tabSelected="1" zoomScale="67" workbookViewId="0">
      <selection activeCell="P1" sqref="P1"/>
    </sheetView>
  </sheetViews>
  <sheetFormatPr defaultColWidth="15.58203125" defaultRowHeight="20.149999999999999" customHeight="1" x14ac:dyDescent="0.4"/>
  <cols>
    <col min="1" max="1" width="25.58203125" style="28" customWidth="1"/>
    <col min="2" max="2" width="15.58203125" style="29"/>
    <col min="3" max="10" width="15.58203125" style="15"/>
    <col min="11" max="11" width="15.58203125" style="30"/>
    <col min="12" max="16384" width="15.58203125" style="15"/>
  </cols>
  <sheetData>
    <row r="1" spans="1:24" ht="40" customHeight="1" x14ac:dyDescent="0.4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7" t="s">
        <v>8</v>
      </c>
      <c r="J1" s="7" t="s">
        <v>9</v>
      </c>
      <c r="K1" s="4" t="s">
        <v>10</v>
      </c>
      <c r="L1" s="4" t="s">
        <v>11</v>
      </c>
      <c r="M1" s="8" t="s">
        <v>12</v>
      </c>
      <c r="N1" s="9" t="s">
        <v>13</v>
      </c>
      <c r="O1" s="10" t="s">
        <v>14</v>
      </c>
      <c r="P1" s="11" t="s">
        <v>15</v>
      </c>
      <c r="Q1" s="12" t="s">
        <v>16</v>
      </c>
      <c r="R1" s="13" t="s">
        <v>17</v>
      </c>
      <c r="S1" s="14" t="s">
        <v>18</v>
      </c>
      <c r="T1" s="2" t="s">
        <v>19</v>
      </c>
      <c r="U1" s="2" t="s">
        <v>20</v>
      </c>
      <c r="V1" s="6" t="s">
        <v>21</v>
      </c>
      <c r="W1" s="6" t="s">
        <v>22</v>
      </c>
      <c r="X1" s="6" t="s">
        <v>26</v>
      </c>
    </row>
    <row r="2" spans="1:24" ht="20.149999999999999" customHeight="1" x14ac:dyDescent="0.4">
      <c r="A2" s="16">
        <v>45992</v>
      </c>
      <c r="B2" s="17" t="s">
        <v>23</v>
      </c>
      <c r="C2" s="18">
        <v>3.2</v>
      </c>
      <c r="D2" s="18">
        <v>1.1000000000000001</v>
      </c>
      <c r="E2" s="18">
        <v>2.1</v>
      </c>
      <c r="F2" s="19">
        <v>0.08</v>
      </c>
      <c r="G2" s="19">
        <v>0.75</v>
      </c>
      <c r="H2" s="19">
        <v>0.01</v>
      </c>
      <c r="I2" s="19">
        <v>610</v>
      </c>
      <c r="J2" s="19">
        <v>608</v>
      </c>
      <c r="K2" s="18">
        <f t="shared" ref="K2:K9" si="0">(J2*E2)</f>
        <v>1276.8</v>
      </c>
      <c r="L2" s="20">
        <f>K2+K3</f>
        <v>1314.3</v>
      </c>
      <c r="M2" s="18">
        <f t="shared" ref="M2:M63" si="1">I2*E2</f>
        <v>1281</v>
      </c>
      <c r="N2" s="21">
        <f>M2+M3</f>
        <v>1468.5</v>
      </c>
      <c r="O2" s="22">
        <f t="shared" ref="O2:O63" si="2">(I2*F2)</f>
        <v>48.800000000000004</v>
      </c>
      <c r="P2" s="23">
        <f>O2+O3</f>
        <v>54.800000000000004</v>
      </c>
      <c r="Q2" s="19">
        <v>56</v>
      </c>
      <c r="R2" s="24">
        <f>Q2+Q3</f>
        <v>88</v>
      </c>
      <c r="S2" s="24">
        <v>2400</v>
      </c>
      <c r="T2" s="24">
        <v>0</v>
      </c>
      <c r="U2" s="19">
        <f t="shared" ref="U2:U63" si="3">G2*I2</f>
        <v>457.5</v>
      </c>
      <c r="V2" s="24">
        <v>35</v>
      </c>
      <c r="W2" s="24">
        <v>0</v>
      </c>
      <c r="X2" s="19">
        <f t="shared" ref="X2:X63" si="4">H2*I2</f>
        <v>6.1000000000000005</v>
      </c>
    </row>
    <row r="3" spans="1:24" ht="20.149999999999999" customHeight="1" x14ac:dyDescent="0.4">
      <c r="A3" s="16">
        <v>45992</v>
      </c>
      <c r="B3" s="25" t="s">
        <v>24</v>
      </c>
      <c r="C3" s="18">
        <v>22</v>
      </c>
      <c r="D3" s="18">
        <v>9.5</v>
      </c>
      <c r="E3" s="18">
        <v>12.5</v>
      </c>
      <c r="F3" s="19">
        <v>0.4</v>
      </c>
      <c r="G3" s="19">
        <v>0.6</v>
      </c>
      <c r="H3" s="19">
        <v>3.0000000000000001E-3</v>
      </c>
      <c r="I3" s="19">
        <v>15</v>
      </c>
      <c r="J3" s="19">
        <v>3</v>
      </c>
      <c r="K3" s="18">
        <f t="shared" si="0"/>
        <v>37.5</v>
      </c>
      <c r="L3" s="21"/>
      <c r="M3" s="18">
        <f t="shared" si="1"/>
        <v>187.5</v>
      </c>
      <c r="N3" s="21"/>
      <c r="O3" s="22">
        <f t="shared" si="2"/>
        <v>6</v>
      </c>
      <c r="P3" s="26"/>
      <c r="Q3" s="19">
        <v>32</v>
      </c>
      <c r="R3" s="24"/>
      <c r="S3" s="24"/>
      <c r="T3" s="24"/>
      <c r="U3" s="19">
        <f t="shared" si="3"/>
        <v>9</v>
      </c>
      <c r="V3" s="24"/>
      <c r="W3" s="24"/>
      <c r="X3" s="19">
        <f t="shared" si="4"/>
        <v>4.4999999999999998E-2</v>
      </c>
    </row>
    <row r="4" spans="1:24" ht="20.149999999999999" customHeight="1" x14ac:dyDescent="0.4">
      <c r="A4" s="16">
        <v>45993</v>
      </c>
      <c r="B4" s="17" t="s">
        <v>23</v>
      </c>
      <c r="C4" s="18">
        <v>3.2</v>
      </c>
      <c r="D4" s="18">
        <v>1.1000000000000001</v>
      </c>
      <c r="E4" s="18">
        <v>2.1</v>
      </c>
      <c r="F4" s="19">
        <v>0.08</v>
      </c>
      <c r="G4" s="19">
        <v>0.75</v>
      </c>
      <c r="H4" s="19">
        <v>0.01</v>
      </c>
      <c r="I4" s="19">
        <v>650</v>
      </c>
      <c r="J4" s="19">
        <v>638</v>
      </c>
      <c r="K4" s="18">
        <f t="shared" si="0"/>
        <v>1339.8</v>
      </c>
      <c r="L4" s="20">
        <f>K4+K5</f>
        <v>1377.3</v>
      </c>
      <c r="M4" s="18">
        <f t="shared" si="1"/>
        <v>1365</v>
      </c>
      <c r="N4" s="20">
        <f>M4+M5</f>
        <v>1490</v>
      </c>
      <c r="O4" s="22">
        <f t="shared" si="2"/>
        <v>52</v>
      </c>
      <c r="P4" s="23">
        <f>O4+O5</f>
        <v>56</v>
      </c>
      <c r="Q4" s="19">
        <v>56</v>
      </c>
      <c r="R4" s="24">
        <f>Q4+Q5</f>
        <v>88</v>
      </c>
      <c r="S4" s="24">
        <f>S2-U2-U3</f>
        <v>1933.5</v>
      </c>
      <c r="T4" s="24">
        <v>0</v>
      </c>
      <c r="U4" s="19">
        <f t="shared" si="3"/>
        <v>487.5</v>
      </c>
      <c r="V4" s="24">
        <f>V2-X2-X3+W4</f>
        <v>28.854999999999997</v>
      </c>
      <c r="W4" s="24">
        <v>0</v>
      </c>
      <c r="X4" s="19">
        <f t="shared" si="4"/>
        <v>6.5</v>
      </c>
    </row>
    <row r="5" spans="1:24" ht="20.149999999999999" customHeight="1" x14ac:dyDescent="0.4">
      <c r="A5" s="16">
        <v>45993</v>
      </c>
      <c r="B5" s="25" t="s">
        <v>25</v>
      </c>
      <c r="C5" s="18">
        <v>22</v>
      </c>
      <c r="D5" s="18">
        <v>9.5</v>
      </c>
      <c r="E5" s="18">
        <v>12.5</v>
      </c>
      <c r="F5" s="19">
        <v>0.4</v>
      </c>
      <c r="G5" s="27">
        <v>0.6</v>
      </c>
      <c r="H5" s="19">
        <v>3.0000000000000001E-3</v>
      </c>
      <c r="I5" s="19">
        <v>10</v>
      </c>
      <c r="J5" s="19">
        <v>3</v>
      </c>
      <c r="K5" s="18">
        <f t="shared" si="0"/>
        <v>37.5</v>
      </c>
      <c r="L5" s="21"/>
      <c r="M5" s="18">
        <f t="shared" si="1"/>
        <v>125</v>
      </c>
      <c r="N5" s="21"/>
      <c r="O5" s="22">
        <f t="shared" si="2"/>
        <v>4</v>
      </c>
      <c r="P5" s="26"/>
      <c r="Q5" s="19">
        <v>32</v>
      </c>
      <c r="R5" s="24"/>
      <c r="S5" s="24"/>
      <c r="T5" s="24"/>
      <c r="U5" s="19">
        <f t="shared" si="3"/>
        <v>6</v>
      </c>
      <c r="V5" s="24"/>
      <c r="W5" s="24"/>
      <c r="X5" s="19">
        <f t="shared" si="4"/>
        <v>0.03</v>
      </c>
    </row>
    <row r="6" spans="1:24" ht="20.149999999999999" customHeight="1" x14ac:dyDescent="0.4">
      <c r="A6" s="16">
        <v>45994</v>
      </c>
      <c r="B6" s="17" t="s">
        <v>23</v>
      </c>
      <c r="C6" s="18">
        <v>3.2</v>
      </c>
      <c r="D6" s="18">
        <v>1.1000000000000001</v>
      </c>
      <c r="E6" s="18">
        <v>2.1</v>
      </c>
      <c r="F6" s="19">
        <v>0.08</v>
      </c>
      <c r="G6" s="19">
        <v>0.75</v>
      </c>
      <c r="H6" s="19">
        <v>0.01</v>
      </c>
      <c r="I6" s="19">
        <v>640</v>
      </c>
      <c r="J6" s="19">
        <v>640</v>
      </c>
      <c r="K6" s="18">
        <f t="shared" si="0"/>
        <v>1344</v>
      </c>
      <c r="L6" s="20">
        <f>K6+K7</f>
        <v>1494</v>
      </c>
      <c r="M6" s="18">
        <f t="shared" si="1"/>
        <v>1344</v>
      </c>
      <c r="N6" s="20">
        <f>M6+M7</f>
        <v>2219</v>
      </c>
      <c r="O6" s="22">
        <f t="shared" si="2"/>
        <v>51.2</v>
      </c>
      <c r="P6" s="23">
        <f>O6+O7</f>
        <v>79.2</v>
      </c>
      <c r="Q6" s="19">
        <v>56</v>
      </c>
      <c r="R6" s="24">
        <f>Q6+Q7</f>
        <v>88</v>
      </c>
      <c r="S6" s="24">
        <f>S4-U4-U5</f>
        <v>1440</v>
      </c>
      <c r="T6" s="24">
        <v>0</v>
      </c>
      <c r="U6" s="19">
        <f t="shared" si="3"/>
        <v>480</v>
      </c>
      <c r="V6" s="24">
        <f>V4-X4-X5+W6</f>
        <v>22.324999999999996</v>
      </c>
      <c r="W6" s="24">
        <v>0</v>
      </c>
      <c r="X6" s="19">
        <f t="shared" si="4"/>
        <v>6.4</v>
      </c>
    </row>
    <row r="7" spans="1:24" ht="20.149999999999999" customHeight="1" x14ac:dyDescent="0.4">
      <c r="A7" s="16">
        <v>45994</v>
      </c>
      <c r="B7" s="25" t="s">
        <v>25</v>
      </c>
      <c r="C7" s="18">
        <v>22</v>
      </c>
      <c r="D7" s="18">
        <v>9.5</v>
      </c>
      <c r="E7" s="18">
        <v>12.5</v>
      </c>
      <c r="F7" s="19">
        <v>0.4</v>
      </c>
      <c r="G7" s="27">
        <v>0.6</v>
      </c>
      <c r="H7" s="19">
        <v>3.0000000000000001E-3</v>
      </c>
      <c r="I7" s="19">
        <v>70</v>
      </c>
      <c r="J7" s="19">
        <v>12</v>
      </c>
      <c r="K7" s="18">
        <f t="shared" si="0"/>
        <v>150</v>
      </c>
      <c r="L7" s="21"/>
      <c r="M7" s="18">
        <f t="shared" si="1"/>
        <v>875</v>
      </c>
      <c r="N7" s="21"/>
      <c r="O7" s="22">
        <f t="shared" si="2"/>
        <v>28</v>
      </c>
      <c r="P7" s="26"/>
      <c r="Q7" s="19">
        <v>32</v>
      </c>
      <c r="R7" s="24"/>
      <c r="S7" s="24"/>
      <c r="T7" s="24"/>
      <c r="U7" s="19">
        <f t="shared" si="3"/>
        <v>42</v>
      </c>
      <c r="V7" s="24"/>
      <c r="W7" s="24"/>
      <c r="X7" s="19">
        <f t="shared" si="4"/>
        <v>0.21</v>
      </c>
    </row>
    <row r="8" spans="1:24" ht="20.149999999999999" customHeight="1" x14ac:dyDescent="0.4">
      <c r="A8" s="16">
        <v>45995</v>
      </c>
      <c r="B8" s="17" t="s">
        <v>23</v>
      </c>
      <c r="C8" s="18">
        <v>3.2</v>
      </c>
      <c r="D8" s="18">
        <v>1.1000000000000001</v>
      </c>
      <c r="E8" s="18">
        <v>2.1</v>
      </c>
      <c r="F8" s="19">
        <v>0.08</v>
      </c>
      <c r="G8" s="19">
        <v>0.75</v>
      </c>
      <c r="H8" s="19">
        <v>0.01</v>
      </c>
      <c r="I8" s="19">
        <v>650</v>
      </c>
      <c r="J8" s="19">
        <v>645</v>
      </c>
      <c r="K8" s="18">
        <f t="shared" si="0"/>
        <v>1354.5</v>
      </c>
      <c r="L8" s="20">
        <f>K8+K9</f>
        <v>2042</v>
      </c>
      <c r="M8" s="18">
        <f t="shared" si="1"/>
        <v>1365</v>
      </c>
      <c r="N8" s="20">
        <f>M8+M9</f>
        <v>1827.5</v>
      </c>
      <c r="O8" s="22">
        <f t="shared" si="2"/>
        <v>52</v>
      </c>
      <c r="P8" s="23">
        <f>O8+O9</f>
        <v>66.8</v>
      </c>
      <c r="Q8" s="19">
        <v>56</v>
      </c>
      <c r="R8" s="24">
        <f>Q8+Q9</f>
        <v>88</v>
      </c>
      <c r="S8" s="24">
        <f>S6-U6-U7</f>
        <v>918</v>
      </c>
      <c r="T8" s="24">
        <v>0</v>
      </c>
      <c r="U8" s="19">
        <f t="shared" si="3"/>
        <v>487.5</v>
      </c>
      <c r="V8" s="24">
        <f>V6-X6-X7+W8</f>
        <v>15.714999999999995</v>
      </c>
      <c r="W8" s="24">
        <v>0</v>
      </c>
      <c r="X8" s="19">
        <f t="shared" si="4"/>
        <v>6.5</v>
      </c>
    </row>
    <row r="9" spans="1:24" ht="20.149999999999999" customHeight="1" x14ac:dyDescent="0.4">
      <c r="A9" s="16">
        <v>45995</v>
      </c>
      <c r="B9" s="25" t="s">
        <v>25</v>
      </c>
      <c r="C9" s="18">
        <v>22</v>
      </c>
      <c r="D9" s="18">
        <v>9.5</v>
      </c>
      <c r="E9" s="18">
        <v>12.5</v>
      </c>
      <c r="F9" s="19">
        <v>0.4</v>
      </c>
      <c r="G9" s="19">
        <v>0.6</v>
      </c>
      <c r="H9" s="19">
        <v>3.0000000000000001E-3</v>
      </c>
      <c r="I9" s="19">
        <v>37</v>
      </c>
      <c r="J9" s="19">
        <v>55</v>
      </c>
      <c r="K9" s="18">
        <f t="shared" si="0"/>
        <v>687.5</v>
      </c>
      <c r="L9" s="21"/>
      <c r="M9" s="18">
        <f t="shared" si="1"/>
        <v>462.5</v>
      </c>
      <c r="N9" s="21"/>
      <c r="O9" s="22">
        <f t="shared" si="2"/>
        <v>14.8</v>
      </c>
      <c r="P9" s="26"/>
      <c r="Q9" s="19">
        <v>32</v>
      </c>
      <c r="R9" s="24"/>
      <c r="S9" s="24"/>
      <c r="T9" s="24"/>
      <c r="U9" s="19">
        <f t="shared" si="3"/>
        <v>22.2</v>
      </c>
      <c r="V9" s="24"/>
      <c r="W9" s="24"/>
      <c r="X9" s="19">
        <f t="shared" si="4"/>
        <v>0.111</v>
      </c>
    </row>
    <row r="10" spans="1:24" ht="20.149999999999999" customHeight="1" x14ac:dyDescent="0.4">
      <c r="A10" s="16">
        <v>45996</v>
      </c>
      <c r="B10" s="17" t="s">
        <v>23</v>
      </c>
      <c r="C10" s="18">
        <v>3.2</v>
      </c>
      <c r="D10" s="18">
        <v>1.1000000000000001</v>
      </c>
      <c r="E10" s="18">
        <v>2.1</v>
      </c>
      <c r="F10" s="19">
        <v>0.08</v>
      </c>
      <c r="G10" s="19">
        <v>0.75</v>
      </c>
      <c r="H10" s="19">
        <v>0.01</v>
      </c>
      <c r="I10" s="19">
        <v>650</v>
      </c>
      <c r="J10" s="19">
        <v>650</v>
      </c>
      <c r="K10" s="18">
        <f>(J14*E10)</f>
        <v>651</v>
      </c>
      <c r="L10" s="20">
        <f>K10+K11</f>
        <v>1026</v>
      </c>
      <c r="M10" s="18">
        <f t="shared" si="1"/>
        <v>1365</v>
      </c>
      <c r="N10" s="20">
        <f>M10+M11</f>
        <v>1552.5</v>
      </c>
      <c r="O10" s="22">
        <f t="shared" si="2"/>
        <v>52</v>
      </c>
      <c r="P10" s="23">
        <f>O10+O11</f>
        <v>58</v>
      </c>
      <c r="Q10" s="19">
        <v>56</v>
      </c>
      <c r="R10" s="24">
        <f>Q10+Q11</f>
        <v>88</v>
      </c>
      <c r="S10" s="24">
        <f>S8-U8-U9+3000</f>
        <v>3408.3</v>
      </c>
      <c r="T10" s="24">
        <v>3000</v>
      </c>
      <c r="U10" s="19">
        <f t="shared" si="3"/>
        <v>487.5</v>
      </c>
      <c r="V10" s="24">
        <f>V8-X8-X9+W10</f>
        <v>54.103999999999992</v>
      </c>
      <c r="W10" s="24">
        <v>45</v>
      </c>
      <c r="X10" s="19">
        <f t="shared" si="4"/>
        <v>6.5</v>
      </c>
    </row>
    <row r="11" spans="1:24" ht="20.149999999999999" customHeight="1" x14ac:dyDescent="0.4">
      <c r="A11" s="16">
        <v>45996</v>
      </c>
      <c r="B11" s="25" t="s">
        <v>25</v>
      </c>
      <c r="C11" s="18">
        <v>22</v>
      </c>
      <c r="D11" s="18">
        <v>9.5</v>
      </c>
      <c r="E11" s="18">
        <v>12.5</v>
      </c>
      <c r="F11" s="19">
        <v>0.4</v>
      </c>
      <c r="G11" s="27">
        <v>0.6</v>
      </c>
      <c r="H11" s="19">
        <v>3.0000000000000001E-3</v>
      </c>
      <c r="I11" s="19">
        <v>15</v>
      </c>
      <c r="J11" s="19">
        <v>30</v>
      </c>
      <c r="K11" s="18">
        <f t="shared" ref="K11:K63" si="5">(J11*E11)</f>
        <v>375</v>
      </c>
      <c r="L11" s="21"/>
      <c r="M11" s="18">
        <f t="shared" si="1"/>
        <v>187.5</v>
      </c>
      <c r="N11" s="21"/>
      <c r="O11" s="22">
        <f t="shared" si="2"/>
        <v>6</v>
      </c>
      <c r="P11" s="26"/>
      <c r="Q11" s="19">
        <v>32</v>
      </c>
      <c r="R11" s="24"/>
      <c r="S11" s="24"/>
      <c r="T11" s="24"/>
      <c r="U11" s="19">
        <f t="shared" si="3"/>
        <v>9</v>
      </c>
      <c r="V11" s="24"/>
      <c r="W11" s="24"/>
      <c r="X11" s="19">
        <f t="shared" si="4"/>
        <v>4.4999999999999998E-2</v>
      </c>
    </row>
    <row r="12" spans="1:24" ht="20.149999999999999" customHeight="1" x14ac:dyDescent="0.4">
      <c r="A12" s="16">
        <v>45997</v>
      </c>
      <c r="B12" s="17" t="s">
        <v>23</v>
      </c>
      <c r="C12" s="18">
        <v>3.2</v>
      </c>
      <c r="D12" s="18">
        <v>1.1000000000000001</v>
      </c>
      <c r="E12" s="18">
        <v>2.1</v>
      </c>
      <c r="F12" s="19">
        <v>0.08</v>
      </c>
      <c r="G12" s="19">
        <v>0.75</v>
      </c>
      <c r="H12" s="19">
        <v>0.01</v>
      </c>
      <c r="I12" s="19">
        <v>800</v>
      </c>
      <c r="J12" s="19">
        <v>780</v>
      </c>
      <c r="K12" s="18">
        <f t="shared" si="5"/>
        <v>1638</v>
      </c>
      <c r="L12" s="20">
        <f>K12+K13</f>
        <v>2138</v>
      </c>
      <c r="M12" s="18">
        <f t="shared" si="1"/>
        <v>1680</v>
      </c>
      <c r="N12" s="20">
        <f>M12+M13</f>
        <v>1680</v>
      </c>
      <c r="O12" s="22">
        <f t="shared" si="2"/>
        <v>64</v>
      </c>
      <c r="P12" s="23">
        <f>O12+O13</f>
        <v>64</v>
      </c>
      <c r="Q12" s="19">
        <v>64</v>
      </c>
      <c r="R12" s="24">
        <f>Q12+Q13</f>
        <v>96</v>
      </c>
      <c r="S12" s="24">
        <f>S10-U10-U11</f>
        <v>2911.8</v>
      </c>
      <c r="T12" s="24">
        <v>0</v>
      </c>
      <c r="U12" s="19">
        <f t="shared" si="3"/>
        <v>600</v>
      </c>
      <c r="V12" s="24">
        <f>V10-X10-X11+W12</f>
        <v>47.55899999999999</v>
      </c>
      <c r="W12" s="24">
        <v>0</v>
      </c>
      <c r="X12" s="19">
        <f t="shared" si="4"/>
        <v>8</v>
      </c>
    </row>
    <row r="13" spans="1:24" ht="20.149999999999999" customHeight="1" x14ac:dyDescent="0.4">
      <c r="A13" s="16">
        <v>45997</v>
      </c>
      <c r="B13" s="25" t="s">
        <v>25</v>
      </c>
      <c r="C13" s="18">
        <v>22</v>
      </c>
      <c r="D13" s="18">
        <v>9.5</v>
      </c>
      <c r="E13" s="18">
        <v>12.5</v>
      </c>
      <c r="F13" s="19">
        <v>0.4</v>
      </c>
      <c r="G13" s="27">
        <v>0.6</v>
      </c>
      <c r="H13" s="19">
        <v>3.0000000000000001E-3</v>
      </c>
      <c r="I13" s="19">
        <v>0</v>
      </c>
      <c r="J13" s="19">
        <v>40</v>
      </c>
      <c r="K13" s="18">
        <f t="shared" si="5"/>
        <v>500</v>
      </c>
      <c r="L13" s="21"/>
      <c r="M13" s="18">
        <f t="shared" si="1"/>
        <v>0</v>
      </c>
      <c r="N13" s="21"/>
      <c r="O13" s="22">
        <f t="shared" si="2"/>
        <v>0</v>
      </c>
      <c r="P13" s="26"/>
      <c r="Q13" s="19">
        <v>32</v>
      </c>
      <c r="R13" s="24"/>
      <c r="S13" s="24"/>
      <c r="T13" s="24"/>
      <c r="U13" s="19">
        <f t="shared" si="3"/>
        <v>0</v>
      </c>
      <c r="V13" s="24"/>
      <c r="W13" s="24"/>
      <c r="X13" s="19">
        <f t="shared" si="4"/>
        <v>0</v>
      </c>
    </row>
    <row r="14" spans="1:24" ht="20.149999999999999" customHeight="1" x14ac:dyDescent="0.4">
      <c r="A14" s="16">
        <v>45998</v>
      </c>
      <c r="B14" s="17" t="s">
        <v>23</v>
      </c>
      <c r="C14" s="18">
        <v>3.2</v>
      </c>
      <c r="D14" s="18">
        <v>1.1000000000000001</v>
      </c>
      <c r="E14" s="18">
        <v>2.1</v>
      </c>
      <c r="F14" s="19">
        <v>0.08</v>
      </c>
      <c r="G14" s="19">
        <v>0.75</v>
      </c>
      <c r="H14" s="19">
        <v>0.01</v>
      </c>
      <c r="I14" s="19">
        <v>310</v>
      </c>
      <c r="J14" s="19">
        <v>310</v>
      </c>
      <c r="K14" s="18">
        <f t="shared" si="5"/>
        <v>651</v>
      </c>
      <c r="L14" s="20">
        <f>K14+K15</f>
        <v>676</v>
      </c>
      <c r="M14" s="18">
        <f t="shared" si="1"/>
        <v>651</v>
      </c>
      <c r="N14" s="20">
        <f>M14+M15</f>
        <v>651</v>
      </c>
      <c r="O14" s="22">
        <f t="shared" si="2"/>
        <v>24.8</v>
      </c>
      <c r="P14" s="23">
        <f>O14+O15</f>
        <v>24.8</v>
      </c>
      <c r="Q14" s="19">
        <v>56</v>
      </c>
      <c r="R14" s="24">
        <f>Q14+Q15</f>
        <v>88</v>
      </c>
      <c r="S14" s="24">
        <f>S12-U12-U13</f>
        <v>2311.8000000000002</v>
      </c>
      <c r="T14" s="24">
        <v>0</v>
      </c>
      <c r="U14" s="19">
        <f t="shared" si="3"/>
        <v>232.5</v>
      </c>
      <c r="V14" s="24">
        <f>V12-X12-X13+W14</f>
        <v>39.55899999999999</v>
      </c>
      <c r="W14" s="24">
        <v>0</v>
      </c>
      <c r="X14" s="19">
        <f t="shared" si="4"/>
        <v>3.1</v>
      </c>
    </row>
    <row r="15" spans="1:24" ht="20.149999999999999" customHeight="1" x14ac:dyDescent="0.4">
      <c r="A15" s="16">
        <v>45998</v>
      </c>
      <c r="B15" s="25" t="s">
        <v>25</v>
      </c>
      <c r="C15" s="18">
        <v>22</v>
      </c>
      <c r="D15" s="18">
        <v>9.5</v>
      </c>
      <c r="E15" s="18">
        <v>12.5</v>
      </c>
      <c r="F15" s="19">
        <v>0.4</v>
      </c>
      <c r="G15" s="19">
        <v>0.6</v>
      </c>
      <c r="H15" s="19">
        <v>3.0000000000000001E-3</v>
      </c>
      <c r="I15" s="19">
        <v>0</v>
      </c>
      <c r="J15" s="19">
        <v>2</v>
      </c>
      <c r="K15" s="18">
        <f t="shared" si="5"/>
        <v>25</v>
      </c>
      <c r="L15" s="21"/>
      <c r="M15" s="18">
        <f t="shared" si="1"/>
        <v>0</v>
      </c>
      <c r="N15" s="21"/>
      <c r="O15" s="22">
        <f t="shared" si="2"/>
        <v>0</v>
      </c>
      <c r="P15" s="26"/>
      <c r="Q15" s="19">
        <v>32</v>
      </c>
      <c r="R15" s="24"/>
      <c r="S15" s="24"/>
      <c r="T15" s="24"/>
      <c r="U15" s="19">
        <f t="shared" si="3"/>
        <v>0</v>
      </c>
      <c r="V15" s="24"/>
      <c r="W15" s="24"/>
      <c r="X15" s="19">
        <f t="shared" si="4"/>
        <v>0</v>
      </c>
    </row>
    <row r="16" spans="1:24" ht="20.149999999999999" customHeight="1" x14ac:dyDescent="0.4">
      <c r="A16" s="16">
        <v>45999</v>
      </c>
      <c r="B16" s="17" t="s">
        <v>23</v>
      </c>
      <c r="C16" s="18">
        <v>3.2</v>
      </c>
      <c r="D16" s="18">
        <v>1.1000000000000001</v>
      </c>
      <c r="E16" s="18">
        <v>2.1</v>
      </c>
      <c r="F16" s="19">
        <v>0.08</v>
      </c>
      <c r="G16" s="19">
        <v>0.75</v>
      </c>
      <c r="H16" s="19">
        <v>0.01</v>
      </c>
      <c r="I16" s="19">
        <v>600</v>
      </c>
      <c r="J16" s="19">
        <v>580</v>
      </c>
      <c r="K16" s="18">
        <f t="shared" si="5"/>
        <v>1218</v>
      </c>
      <c r="L16" s="20">
        <f>K16+K17</f>
        <v>1230.5</v>
      </c>
      <c r="M16" s="18">
        <f t="shared" si="1"/>
        <v>1260</v>
      </c>
      <c r="N16" s="20">
        <f>M16+M17</f>
        <v>1472.5</v>
      </c>
      <c r="O16" s="22">
        <f t="shared" si="2"/>
        <v>48</v>
      </c>
      <c r="P16" s="23">
        <f>O16+O17</f>
        <v>54.8</v>
      </c>
      <c r="Q16" s="19">
        <v>56</v>
      </c>
      <c r="R16" s="24">
        <f>Q16+Q17</f>
        <v>88</v>
      </c>
      <c r="S16" s="24">
        <f>S14-U14-U15</f>
        <v>2079.3000000000002</v>
      </c>
      <c r="T16" s="24">
        <v>0</v>
      </c>
      <c r="U16" s="19">
        <f t="shared" si="3"/>
        <v>450</v>
      </c>
      <c r="V16" s="24">
        <f>V14-X14-X15+W16</f>
        <v>36.458999999999989</v>
      </c>
      <c r="W16" s="24">
        <v>0</v>
      </c>
      <c r="X16" s="19">
        <f t="shared" si="4"/>
        <v>6</v>
      </c>
    </row>
    <row r="17" spans="1:24" ht="20.149999999999999" customHeight="1" x14ac:dyDescent="0.4">
      <c r="A17" s="16">
        <v>45999</v>
      </c>
      <c r="B17" s="25" t="s">
        <v>25</v>
      </c>
      <c r="C17" s="18">
        <v>22</v>
      </c>
      <c r="D17" s="18">
        <v>9.5</v>
      </c>
      <c r="E17" s="18">
        <v>12.5</v>
      </c>
      <c r="F17" s="19">
        <v>0.4</v>
      </c>
      <c r="G17" s="27">
        <v>0.6</v>
      </c>
      <c r="H17" s="19">
        <v>3.0000000000000001E-3</v>
      </c>
      <c r="I17" s="19">
        <v>17</v>
      </c>
      <c r="J17" s="19">
        <v>1</v>
      </c>
      <c r="K17" s="18">
        <f t="shared" si="5"/>
        <v>12.5</v>
      </c>
      <c r="L17" s="21"/>
      <c r="M17" s="18">
        <f t="shared" si="1"/>
        <v>212.5</v>
      </c>
      <c r="N17" s="21"/>
      <c r="O17" s="22">
        <f t="shared" si="2"/>
        <v>6.8000000000000007</v>
      </c>
      <c r="P17" s="26"/>
      <c r="Q17" s="19">
        <v>32</v>
      </c>
      <c r="R17" s="24"/>
      <c r="S17" s="24"/>
      <c r="T17" s="24"/>
      <c r="U17" s="19">
        <f t="shared" si="3"/>
        <v>10.199999999999999</v>
      </c>
      <c r="V17" s="24"/>
      <c r="W17" s="24"/>
      <c r="X17" s="19">
        <f t="shared" si="4"/>
        <v>5.1000000000000004E-2</v>
      </c>
    </row>
    <row r="18" spans="1:24" ht="20.149999999999999" customHeight="1" x14ac:dyDescent="0.4">
      <c r="A18" s="16">
        <v>46000</v>
      </c>
      <c r="B18" s="17" t="s">
        <v>23</v>
      </c>
      <c r="C18" s="18">
        <v>3.2</v>
      </c>
      <c r="D18" s="18">
        <v>1.1000000000000001</v>
      </c>
      <c r="E18" s="18">
        <v>2.1</v>
      </c>
      <c r="F18" s="19">
        <v>0.08</v>
      </c>
      <c r="G18" s="19">
        <v>0.75</v>
      </c>
      <c r="H18" s="19">
        <v>0.01</v>
      </c>
      <c r="I18" s="19">
        <v>650</v>
      </c>
      <c r="J18" s="19">
        <v>650</v>
      </c>
      <c r="K18" s="18">
        <f t="shared" si="5"/>
        <v>1365</v>
      </c>
      <c r="L18" s="20">
        <f>K18+K19</f>
        <v>1427.5</v>
      </c>
      <c r="M18" s="18">
        <f t="shared" si="1"/>
        <v>1365</v>
      </c>
      <c r="N18" s="20">
        <f>M18+M19</f>
        <v>1490</v>
      </c>
      <c r="O18" s="22">
        <f t="shared" si="2"/>
        <v>52</v>
      </c>
      <c r="P18" s="23">
        <f>O18+O19</f>
        <v>56</v>
      </c>
      <c r="Q18" s="19">
        <v>56</v>
      </c>
      <c r="R18" s="24">
        <f>Q18+Q19</f>
        <v>88</v>
      </c>
      <c r="S18" s="24">
        <f>S16-U16-U17</f>
        <v>1619.1000000000001</v>
      </c>
      <c r="T18" s="24">
        <v>0</v>
      </c>
      <c r="U18" s="19">
        <f t="shared" si="3"/>
        <v>487.5</v>
      </c>
      <c r="V18" s="24">
        <f>V16-X16-X17+W18</f>
        <v>30.407999999999991</v>
      </c>
      <c r="W18" s="24">
        <v>0</v>
      </c>
      <c r="X18" s="19">
        <f t="shared" si="4"/>
        <v>6.5</v>
      </c>
    </row>
    <row r="19" spans="1:24" ht="20.149999999999999" customHeight="1" x14ac:dyDescent="0.4">
      <c r="A19" s="16">
        <v>46000</v>
      </c>
      <c r="B19" s="25" t="s">
        <v>25</v>
      </c>
      <c r="C19" s="18">
        <v>22</v>
      </c>
      <c r="D19" s="18">
        <v>9.5</v>
      </c>
      <c r="E19" s="18">
        <v>12.5</v>
      </c>
      <c r="F19" s="19">
        <v>0.4</v>
      </c>
      <c r="G19" s="27">
        <v>0.6</v>
      </c>
      <c r="H19" s="19">
        <v>3.0000000000000001E-3</v>
      </c>
      <c r="I19" s="19">
        <v>10</v>
      </c>
      <c r="J19" s="19">
        <v>5</v>
      </c>
      <c r="K19" s="18">
        <f t="shared" si="5"/>
        <v>62.5</v>
      </c>
      <c r="L19" s="21"/>
      <c r="M19" s="18">
        <f t="shared" si="1"/>
        <v>125</v>
      </c>
      <c r="N19" s="21"/>
      <c r="O19" s="22">
        <f t="shared" si="2"/>
        <v>4</v>
      </c>
      <c r="P19" s="26"/>
      <c r="Q19" s="19">
        <v>32</v>
      </c>
      <c r="R19" s="24"/>
      <c r="S19" s="24"/>
      <c r="T19" s="24"/>
      <c r="U19" s="19">
        <f t="shared" si="3"/>
        <v>6</v>
      </c>
      <c r="V19" s="24"/>
      <c r="W19" s="24"/>
      <c r="X19" s="19">
        <f t="shared" si="4"/>
        <v>0.03</v>
      </c>
    </row>
    <row r="20" spans="1:24" ht="20.149999999999999" customHeight="1" x14ac:dyDescent="0.4">
      <c r="A20" s="16">
        <v>46001</v>
      </c>
      <c r="B20" s="17" t="s">
        <v>23</v>
      </c>
      <c r="C20" s="18">
        <v>3.2</v>
      </c>
      <c r="D20" s="18">
        <v>1.1000000000000001</v>
      </c>
      <c r="E20" s="18">
        <v>2.1</v>
      </c>
      <c r="F20" s="19">
        <v>0.08</v>
      </c>
      <c r="G20" s="19">
        <v>0.75</v>
      </c>
      <c r="H20" s="19">
        <v>0.01</v>
      </c>
      <c r="I20" s="19">
        <v>650</v>
      </c>
      <c r="J20" s="19">
        <v>625</v>
      </c>
      <c r="K20" s="18">
        <f t="shared" si="5"/>
        <v>1312.5</v>
      </c>
      <c r="L20" s="20">
        <f>K20+K21</f>
        <v>1362.5</v>
      </c>
      <c r="M20" s="18">
        <f t="shared" si="1"/>
        <v>1365</v>
      </c>
      <c r="N20" s="20">
        <f>M20+M21</f>
        <v>2240</v>
      </c>
      <c r="O20" s="22">
        <f t="shared" si="2"/>
        <v>52</v>
      </c>
      <c r="P20" s="23">
        <f>O20+O21</f>
        <v>80</v>
      </c>
      <c r="Q20" s="19">
        <v>56</v>
      </c>
      <c r="R20" s="24">
        <f>Q20+Q21</f>
        <v>88</v>
      </c>
      <c r="S20" s="24">
        <f>S18-U18-U19</f>
        <v>1125.6000000000001</v>
      </c>
      <c r="T20" s="24">
        <v>0</v>
      </c>
      <c r="U20" s="19">
        <f t="shared" si="3"/>
        <v>487.5</v>
      </c>
      <c r="V20" s="24">
        <f>V18-X18-X19+W20</f>
        <v>23.877999999999989</v>
      </c>
      <c r="W20" s="24">
        <v>0</v>
      </c>
      <c r="X20" s="19">
        <f t="shared" si="4"/>
        <v>6.5</v>
      </c>
    </row>
    <row r="21" spans="1:24" ht="20.149999999999999" customHeight="1" x14ac:dyDescent="0.4">
      <c r="A21" s="16">
        <v>46001</v>
      </c>
      <c r="B21" s="25" t="s">
        <v>25</v>
      </c>
      <c r="C21" s="18">
        <v>22</v>
      </c>
      <c r="D21" s="18">
        <v>9.5</v>
      </c>
      <c r="E21" s="18">
        <v>12.5</v>
      </c>
      <c r="F21" s="19">
        <v>0.4</v>
      </c>
      <c r="G21" s="19">
        <v>0.6</v>
      </c>
      <c r="H21" s="19">
        <v>3.0000000000000001E-3</v>
      </c>
      <c r="I21" s="19">
        <v>70</v>
      </c>
      <c r="J21" s="19">
        <v>4</v>
      </c>
      <c r="K21" s="18">
        <f t="shared" si="5"/>
        <v>50</v>
      </c>
      <c r="L21" s="21"/>
      <c r="M21" s="18">
        <f t="shared" si="1"/>
        <v>875</v>
      </c>
      <c r="N21" s="21"/>
      <c r="O21" s="22">
        <f t="shared" si="2"/>
        <v>28</v>
      </c>
      <c r="P21" s="26"/>
      <c r="Q21" s="19">
        <v>32</v>
      </c>
      <c r="R21" s="24"/>
      <c r="S21" s="24"/>
      <c r="T21" s="24"/>
      <c r="U21" s="19">
        <f t="shared" si="3"/>
        <v>42</v>
      </c>
      <c r="V21" s="24"/>
      <c r="W21" s="24"/>
      <c r="X21" s="19">
        <f t="shared" si="4"/>
        <v>0.21</v>
      </c>
    </row>
    <row r="22" spans="1:24" ht="20.149999999999999" customHeight="1" x14ac:dyDescent="0.4">
      <c r="A22" s="16">
        <v>46002</v>
      </c>
      <c r="B22" s="17" t="s">
        <v>23</v>
      </c>
      <c r="C22" s="18">
        <v>3.2</v>
      </c>
      <c r="D22" s="18">
        <v>1.1000000000000001</v>
      </c>
      <c r="E22" s="18">
        <v>2.1</v>
      </c>
      <c r="F22" s="19">
        <v>0.08</v>
      </c>
      <c r="G22" s="19">
        <v>0.75</v>
      </c>
      <c r="H22" s="19">
        <v>0.01</v>
      </c>
      <c r="I22" s="19">
        <v>630</v>
      </c>
      <c r="J22" s="19">
        <v>630</v>
      </c>
      <c r="K22" s="18">
        <f t="shared" si="5"/>
        <v>1323</v>
      </c>
      <c r="L22" s="20">
        <f>K22+K23</f>
        <v>1998</v>
      </c>
      <c r="M22" s="18">
        <f t="shared" si="1"/>
        <v>1323</v>
      </c>
      <c r="N22" s="20">
        <f>M22+M23</f>
        <v>1823</v>
      </c>
      <c r="O22" s="22">
        <f t="shared" si="2"/>
        <v>50.4</v>
      </c>
      <c r="P22" s="23">
        <f>O22+O23</f>
        <v>66.400000000000006</v>
      </c>
      <c r="Q22" s="19">
        <v>56</v>
      </c>
      <c r="R22" s="24">
        <f>Q22+Q23</f>
        <v>88</v>
      </c>
      <c r="S22" s="24">
        <f>S20-U20-U21</f>
        <v>596.10000000000014</v>
      </c>
      <c r="T22" s="24">
        <v>0</v>
      </c>
      <c r="U22" s="19">
        <f t="shared" si="3"/>
        <v>472.5</v>
      </c>
      <c r="V22" s="24">
        <f>V20-X20-X21+W22</f>
        <v>17.167999999999989</v>
      </c>
      <c r="W22" s="24">
        <v>0</v>
      </c>
      <c r="X22" s="19">
        <f t="shared" si="4"/>
        <v>6.3</v>
      </c>
    </row>
    <row r="23" spans="1:24" ht="20.149999999999999" customHeight="1" x14ac:dyDescent="0.4">
      <c r="A23" s="16">
        <v>46002</v>
      </c>
      <c r="B23" s="25" t="s">
        <v>25</v>
      </c>
      <c r="C23" s="18">
        <v>22</v>
      </c>
      <c r="D23" s="18">
        <v>9.5</v>
      </c>
      <c r="E23" s="18">
        <v>12.5</v>
      </c>
      <c r="F23" s="19">
        <v>0.4</v>
      </c>
      <c r="G23" s="27">
        <v>0.6</v>
      </c>
      <c r="H23" s="19">
        <v>3.0000000000000001E-3</v>
      </c>
      <c r="I23" s="19">
        <v>40</v>
      </c>
      <c r="J23" s="19">
        <v>54</v>
      </c>
      <c r="K23" s="18">
        <f t="shared" si="5"/>
        <v>675</v>
      </c>
      <c r="L23" s="21"/>
      <c r="M23" s="18">
        <f t="shared" si="1"/>
        <v>500</v>
      </c>
      <c r="N23" s="21"/>
      <c r="O23" s="22">
        <f t="shared" si="2"/>
        <v>16</v>
      </c>
      <c r="P23" s="26"/>
      <c r="Q23" s="19">
        <v>32</v>
      </c>
      <c r="R23" s="24"/>
      <c r="S23" s="24"/>
      <c r="T23" s="24"/>
      <c r="U23" s="19">
        <f t="shared" si="3"/>
        <v>24</v>
      </c>
      <c r="V23" s="24"/>
      <c r="W23" s="24"/>
      <c r="X23" s="19">
        <f t="shared" si="4"/>
        <v>0.12</v>
      </c>
    </row>
    <row r="24" spans="1:24" ht="20.149999999999999" customHeight="1" x14ac:dyDescent="0.4">
      <c r="A24" s="16">
        <v>46368</v>
      </c>
      <c r="B24" s="17" t="s">
        <v>23</v>
      </c>
      <c r="C24" s="18">
        <v>3.2</v>
      </c>
      <c r="D24" s="18">
        <v>1.1000000000000001</v>
      </c>
      <c r="E24" s="18">
        <v>2.1</v>
      </c>
      <c r="F24" s="19">
        <v>0.08</v>
      </c>
      <c r="G24" s="19">
        <v>0.75</v>
      </c>
      <c r="H24" s="19">
        <v>0.01</v>
      </c>
      <c r="I24" s="19">
        <v>650</v>
      </c>
      <c r="J24" s="19">
        <v>650</v>
      </c>
      <c r="K24" s="18">
        <f t="shared" si="5"/>
        <v>1365</v>
      </c>
      <c r="L24" s="20">
        <f>K24+K25</f>
        <v>1677.5</v>
      </c>
      <c r="M24" s="18">
        <f t="shared" si="1"/>
        <v>1365</v>
      </c>
      <c r="N24" s="20">
        <f>M24+M25</f>
        <v>1515</v>
      </c>
      <c r="O24" s="22">
        <f t="shared" si="2"/>
        <v>52</v>
      </c>
      <c r="P24" s="23">
        <f>O24+O25</f>
        <v>56.8</v>
      </c>
      <c r="Q24" s="19">
        <v>56</v>
      </c>
      <c r="R24" s="24">
        <f>Q24+Q25</f>
        <v>88</v>
      </c>
      <c r="S24" s="24">
        <f>S22-U22-U23+T24</f>
        <v>3099.6000000000004</v>
      </c>
      <c r="T24" s="24">
        <v>3000</v>
      </c>
      <c r="U24" s="19">
        <f t="shared" si="3"/>
        <v>487.5</v>
      </c>
      <c r="V24" s="24">
        <f>V22-X22-X23+W24</f>
        <v>55.74799999999999</v>
      </c>
      <c r="W24" s="24">
        <v>45</v>
      </c>
      <c r="X24" s="19">
        <f t="shared" si="4"/>
        <v>6.5</v>
      </c>
    </row>
    <row r="25" spans="1:24" ht="20.149999999999999" customHeight="1" x14ac:dyDescent="0.4">
      <c r="A25" s="16">
        <v>46368</v>
      </c>
      <c r="B25" s="25" t="s">
        <v>25</v>
      </c>
      <c r="C25" s="18">
        <v>22</v>
      </c>
      <c r="D25" s="18">
        <v>9.5</v>
      </c>
      <c r="E25" s="18">
        <v>12.5</v>
      </c>
      <c r="F25" s="19">
        <v>0.4</v>
      </c>
      <c r="G25" s="27">
        <v>0.6</v>
      </c>
      <c r="H25" s="19">
        <v>3.0000000000000001E-3</v>
      </c>
      <c r="I25" s="19">
        <v>12</v>
      </c>
      <c r="J25" s="19">
        <v>25</v>
      </c>
      <c r="K25" s="18">
        <f t="shared" si="5"/>
        <v>312.5</v>
      </c>
      <c r="L25" s="21"/>
      <c r="M25" s="18">
        <f t="shared" si="1"/>
        <v>150</v>
      </c>
      <c r="N25" s="21"/>
      <c r="O25" s="22">
        <f t="shared" si="2"/>
        <v>4.8000000000000007</v>
      </c>
      <c r="P25" s="26"/>
      <c r="Q25" s="19">
        <v>32</v>
      </c>
      <c r="R25" s="24"/>
      <c r="S25" s="24"/>
      <c r="T25" s="24"/>
      <c r="U25" s="19">
        <f t="shared" si="3"/>
        <v>7.1999999999999993</v>
      </c>
      <c r="V25" s="24"/>
      <c r="W25" s="24"/>
      <c r="X25" s="19">
        <f t="shared" si="4"/>
        <v>3.6000000000000004E-2</v>
      </c>
    </row>
    <row r="26" spans="1:24" ht="20.149999999999999" customHeight="1" x14ac:dyDescent="0.4">
      <c r="A26" s="16">
        <v>46004</v>
      </c>
      <c r="B26" s="17" t="s">
        <v>23</v>
      </c>
      <c r="C26" s="18">
        <v>3.2</v>
      </c>
      <c r="D26" s="18">
        <v>1.1000000000000001</v>
      </c>
      <c r="E26" s="18">
        <v>2.1</v>
      </c>
      <c r="F26" s="19">
        <v>0.08</v>
      </c>
      <c r="G26" s="19">
        <v>0.75</v>
      </c>
      <c r="H26" s="19">
        <v>0.01</v>
      </c>
      <c r="I26" s="19">
        <v>800</v>
      </c>
      <c r="J26" s="19">
        <v>760</v>
      </c>
      <c r="K26" s="18">
        <f t="shared" si="5"/>
        <v>1596</v>
      </c>
      <c r="L26" s="20">
        <f>K26+K27</f>
        <v>2071</v>
      </c>
      <c r="M26" s="18">
        <f t="shared" si="1"/>
        <v>1680</v>
      </c>
      <c r="N26" s="20">
        <f>M26+M27</f>
        <v>1680</v>
      </c>
      <c r="O26" s="22">
        <f t="shared" si="2"/>
        <v>64</v>
      </c>
      <c r="P26" s="23">
        <f>O26+O27</f>
        <v>64</v>
      </c>
      <c r="Q26" s="19">
        <v>64</v>
      </c>
      <c r="R26" s="24">
        <f>Q26+Q27</f>
        <v>96</v>
      </c>
      <c r="S26" s="24">
        <f>S24-U24-U25+T26</f>
        <v>2604.9000000000005</v>
      </c>
      <c r="T26" s="24">
        <v>0</v>
      </c>
      <c r="U26" s="19">
        <f t="shared" si="3"/>
        <v>600</v>
      </c>
      <c r="V26" s="24">
        <f>V24-X24-X25+W26</f>
        <v>49.211999999999989</v>
      </c>
      <c r="W26" s="24">
        <v>0</v>
      </c>
      <c r="X26" s="19">
        <f t="shared" si="4"/>
        <v>8</v>
      </c>
    </row>
    <row r="27" spans="1:24" ht="20.149999999999999" customHeight="1" x14ac:dyDescent="0.4">
      <c r="A27" s="16">
        <v>46004</v>
      </c>
      <c r="B27" s="25" t="s">
        <v>25</v>
      </c>
      <c r="C27" s="18">
        <v>22</v>
      </c>
      <c r="D27" s="18">
        <v>9.5</v>
      </c>
      <c r="E27" s="18">
        <v>12.5</v>
      </c>
      <c r="F27" s="19">
        <v>0.4</v>
      </c>
      <c r="G27" s="19">
        <v>0.6</v>
      </c>
      <c r="H27" s="19">
        <v>3.0000000000000001E-3</v>
      </c>
      <c r="I27" s="19">
        <v>0</v>
      </c>
      <c r="J27" s="19">
        <v>38</v>
      </c>
      <c r="K27" s="18">
        <f t="shared" si="5"/>
        <v>475</v>
      </c>
      <c r="L27" s="21"/>
      <c r="M27" s="18">
        <f t="shared" si="1"/>
        <v>0</v>
      </c>
      <c r="N27" s="21"/>
      <c r="O27" s="22">
        <f t="shared" si="2"/>
        <v>0</v>
      </c>
      <c r="P27" s="26"/>
      <c r="Q27" s="19">
        <v>32</v>
      </c>
      <c r="R27" s="24"/>
      <c r="S27" s="24"/>
      <c r="T27" s="24"/>
      <c r="U27" s="19">
        <f t="shared" si="3"/>
        <v>0</v>
      </c>
      <c r="V27" s="24"/>
      <c r="W27" s="24"/>
      <c r="X27" s="19">
        <f t="shared" si="4"/>
        <v>0</v>
      </c>
    </row>
    <row r="28" spans="1:24" ht="20.149999999999999" customHeight="1" x14ac:dyDescent="0.4">
      <c r="A28" s="16">
        <v>46005</v>
      </c>
      <c r="B28" s="17" t="s">
        <v>23</v>
      </c>
      <c r="C28" s="18">
        <v>3.2</v>
      </c>
      <c r="D28" s="18">
        <v>1.1000000000000001</v>
      </c>
      <c r="E28" s="18">
        <v>2.1</v>
      </c>
      <c r="F28" s="19">
        <v>0.08</v>
      </c>
      <c r="G28" s="19">
        <v>0.75</v>
      </c>
      <c r="H28" s="19">
        <v>0.01</v>
      </c>
      <c r="I28" s="19">
        <v>300</v>
      </c>
      <c r="J28" s="19">
        <v>300</v>
      </c>
      <c r="K28" s="18">
        <f t="shared" si="5"/>
        <v>630</v>
      </c>
      <c r="L28" s="20">
        <f>K28+K29</f>
        <v>705</v>
      </c>
      <c r="M28" s="18">
        <f t="shared" si="1"/>
        <v>630</v>
      </c>
      <c r="N28" s="20">
        <f>M28+M29</f>
        <v>630</v>
      </c>
      <c r="O28" s="22">
        <f t="shared" si="2"/>
        <v>24</v>
      </c>
      <c r="P28" s="23">
        <f>O28+O29</f>
        <v>24</v>
      </c>
      <c r="Q28" s="19">
        <v>56</v>
      </c>
      <c r="R28" s="24">
        <f>Q28+Q29</f>
        <v>88</v>
      </c>
      <c r="S28" s="24">
        <f>S26-U26-U27+T28</f>
        <v>2004.9000000000005</v>
      </c>
      <c r="T28" s="24">
        <v>0</v>
      </c>
      <c r="U28" s="19">
        <f t="shared" si="3"/>
        <v>225</v>
      </c>
      <c r="V28" s="24">
        <f>V26-X26-X27+W28</f>
        <v>41.211999999999989</v>
      </c>
      <c r="W28" s="24">
        <v>0</v>
      </c>
      <c r="X28" s="19">
        <f t="shared" si="4"/>
        <v>3</v>
      </c>
    </row>
    <row r="29" spans="1:24" ht="20.149999999999999" customHeight="1" x14ac:dyDescent="0.4">
      <c r="A29" s="16">
        <v>46005</v>
      </c>
      <c r="B29" s="25" t="s">
        <v>25</v>
      </c>
      <c r="C29" s="18">
        <v>22</v>
      </c>
      <c r="D29" s="18">
        <v>9.5</v>
      </c>
      <c r="E29" s="18">
        <v>12.5</v>
      </c>
      <c r="F29" s="19">
        <v>0.4</v>
      </c>
      <c r="G29" s="27">
        <v>0.6</v>
      </c>
      <c r="H29" s="19">
        <v>3.0000000000000001E-3</v>
      </c>
      <c r="I29" s="19">
        <v>0</v>
      </c>
      <c r="J29" s="19">
        <v>6</v>
      </c>
      <c r="K29" s="18">
        <f t="shared" si="5"/>
        <v>75</v>
      </c>
      <c r="L29" s="21"/>
      <c r="M29" s="18">
        <f t="shared" si="1"/>
        <v>0</v>
      </c>
      <c r="N29" s="21"/>
      <c r="O29" s="22">
        <f t="shared" si="2"/>
        <v>0</v>
      </c>
      <c r="P29" s="26"/>
      <c r="Q29" s="19">
        <v>32</v>
      </c>
      <c r="R29" s="24"/>
      <c r="S29" s="24"/>
      <c r="T29" s="24"/>
      <c r="U29" s="19">
        <f t="shared" si="3"/>
        <v>0</v>
      </c>
      <c r="V29" s="24"/>
      <c r="W29" s="24"/>
      <c r="X29" s="19">
        <f t="shared" si="4"/>
        <v>0</v>
      </c>
    </row>
    <row r="30" spans="1:24" ht="20.149999999999999" customHeight="1" x14ac:dyDescent="0.4">
      <c r="A30" s="16">
        <v>46006</v>
      </c>
      <c r="B30" s="17" t="s">
        <v>23</v>
      </c>
      <c r="C30" s="18">
        <v>3.2</v>
      </c>
      <c r="D30" s="18">
        <v>1.1000000000000001</v>
      </c>
      <c r="E30" s="18">
        <v>2.1</v>
      </c>
      <c r="F30" s="19">
        <v>0.08</v>
      </c>
      <c r="G30" s="19">
        <v>0.75</v>
      </c>
      <c r="H30" s="19">
        <v>0.01</v>
      </c>
      <c r="I30" s="19">
        <v>600</v>
      </c>
      <c r="J30" s="19">
        <v>598</v>
      </c>
      <c r="K30" s="18">
        <f t="shared" si="5"/>
        <v>1255.8</v>
      </c>
      <c r="L30" s="20">
        <f>K30+K31</f>
        <v>1343.3</v>
      </c>
      <c r="M30" s="18">
        <f t="shared" si="1"/>
        <v>1260</v>
      </c>
      <c r="N30" s="20">
        <f>M30+M31</f>
        <v>1572.5</v>
      </c>
      <c r="O30" s="22">
        <f t="shared" si="2"/>
        <v>48</v>
      </c>
      <c r="P30" s="23">
        <f>O30+O31</f>
        <v>58</v>
      </c>
      <c r="Q30" s="19">
        <v>64</v>
      </c>
      <c r="R30" s="24">
        <f>Q30+Q31</f>
        <v>104</v>
      </c>
      <c r="S30" s="24">
        <f>S28-U28-U29+T30</f>
        <v>1779.9000000000005</v>
      </c>
      <c r="T30" s="24">
        <v>0</v>
      </c>
      <c r="U30" s="19">
        <f t="shared" si="3"/>
        <v>450</v>
      </c>
      <c r="V30" s="24">
        <f>V28-X28-X29+W30</f>
        <v>38.211999999999989</v>
      </c>
      <c r="W30" s="24">
        <v>0</v>
      </c>
      <c r="X30" s="19">
        <f t="shared" si="4"/>
        <v>6</v>
      </c>
    </row>
    <row r="31" spans="1:24" ht="20.149999999999999" customHeight="1" x14ac:dyDescent="0.4">
      <c r="A31" s="16">
        <v>46006</v>
      </c>
      <c r="B31" s="25" t="s">
        <v>25</v>
      </c>
      <c r="C31" s="18">
        <v>22</v>
      </c>
      <c r="D31" s="18">
        <v>9.5</v>
      </c>
      <c r="E31" s="18">
        <v>12.5</v>
      </c>
      <c r="F31" s="19">
        <v>0.4</v>
      </c>
      <c r="G31" s="27">
        <v>0.6</v>
      </c>
      <c r="H31" s="19">
        <v>3.0000000000000001E-3</v>
      </c>
      <c r="I31" s="19">
        <v>25</v>
      </c>
      <c r="J31" s="19">
        <v>7</v>
      </c>
      <c r="K31" s="18">
        <f t="shared" si="5"/>
        <v>87.5</v>
      </c>
      <c r="L31" s="21"/>
      <c r="M31" s="18">
        <f t="shared" si="1"/>
        <v>312.5</v>
      </c>
      <c r="N31" s="21"/>
      <c r="O31" s="22">
        <f t="shared" si="2"/>
        <v>10</v>
      </c>
      <c r="P31" s="26"/>
      <c r="Q31" s="19">
        <v>40</v>
      </c>
      <c r="R31" s="24"/>
      <c r="S31" s="24"/>
      <c r="T31" s="24"/>
      <c r="U31" s="19">
        <f t="shared" si="3"/>
        <v>15</v>
      </c>
      <c r="V31" s="24"/>
      <c r="W31" s="24"/>
      <c r="X31" s="19">
        <f t="shared" si="4"/>
        <v>7.4999999999999997E-2</v>
      </c>
    </row>
    <row r="32" spans="1:24" ht="20.149999999999999" customHeight="1" x14ac:dyDescent="0.4">
      <c r="A32" s="16">
        <v>46007</v>
      </c>
      <c r="B32" s="17" t="s">
        <v>23</v>
      </c>
      <c r="C32" s="18">
        <v>3.2</v>
      </c>
      <c r="D32" s="18">
        <v>1.1000000000000001</v>
      </c>
      <c r="E32" s="18">
        <v>2.1</v>
      </c>
      <c r="F32" s="19">
        <v>0.08</v>
      </c>
      <c r="G32" s="19">
        <v>0.75</v>
      </c>
      <c r="H32" s="19">
        <v>0.01</v>
      </c>
      <c r="I32" s="19">
        <v>680</v>
      </c>
      <c r="J32" s="19">
        <v>672</v>
      </c>
      <c r="K32" s="18">
        <f t="shared" si="5"/>
        <v>1411.2</v>
      </c>
      <c r="L32" s="20">
        <f>K32+K33</f>
        <v>1561.2</v>
      </c>
      <c r="M32" s="18">
        <f t="shared" si="1"/>
        <v>1428</v>
      </c>
      <c r="N32" s="20">
        <f>M32+M33</f>
        <v>1678</v>
      </c>
      <c r="O32" s="22">
        <f t="shared" si="2"/>
        <v>54.4</v>
      </c>
      <c r="P32" s="23">
        <f>O32+O33</f>
        <v>62.4</v>
      </c>
      <c r="Q32" s="19">
        <v>64</v>
      </c>
      <c r="R32" s="24">
        <f>Q32+Q33</f>
        <v>104</v>
      </c>
      <c r="S32" s="24">
        <f>S30-U30-U31+T32</f>
        <v>1314.9000000000005</v>
      </c>
      <c r="T32" s="24">
        <v>0</v>
      </c>
      <c r="U32" s="19">
        <f t="shared" si="3"/>
        <v>510</v>
      </c>
      <c r="V32" s="24">
        <f>V30-X30-X31+W32</f>
        <v>32.136999999999986</v>
      </c>
      <c r="W32" s="24">
        <v>0</v>
      </c>
      <c r="X32" s="19">
        <f t="shared" si="4"/>
        <v>6.8</v>
      </c>
    </row>
    <row r="33" spans="1:24" ht="20.149999999999999" customHeight="1" x14ac:dyDescent="0.4">
      <c r="A33" s="16">
        <v>46007</v>
      </c>
      <c r="B33" s="25" t="s">
        <v>25</v>
      </c>
      <c r="C33" s="18">
        <v>22</v>
      </c>
      <c r="D33" s="18">
        <v>9.5</v>
      </c>
      <c r="E33" s="18">
        <v>12.5</v>
      </c>
      <c r="F33" s="19">
        <v>0.4</v>
      </c>
      <c r="G33" s="19">
        <v>0.6</v>
      </c>
      <c r="H33" s="19">
        <v>3.0000000000000001E-3</v>
      </c>
      <c r="I33" s="19">
        <v>20</v>
      </c>
      <c r="J33" s="19">
        <v>12</v>
      </c>
      <c r="K33" s="18">
        <f t="shared" si="5"/>
        <v>150</v>
      </c>
      <c r="L33" s="21"/>
      <c r="M33" s="18">
        <f t="shared" si="1"/>
        <v>250</v>
      </c>
      <c r="N33" s="21"/>
      <c r="O33" s="22">
        <f t="shared" si="2"/>
        <v>8</v>
      </c>
      <c r="P33" s="26"/>
      <c r="Q33" s="19">
        <v>40</v>
      </c>
      <c r="R33" s="24"/>
      <c r="S33" s="24"/>
      <c r="T33" s="24"/>
      <c r="U33" s="19">
        <f t="shared" si="3"/>
        <v>12</v>
      </c>
      <c r="V33" s="24"/>
      <c r="W33" s="24"/>
      <c r="X33" s="19">
        <f t="shared" si="4"/>
        <v>0.06</v>
      </c>
    </row>
    <row r="34" spans="1:24" ht="20.149999999999999" customHeight="1" x14ac:dyDescent="0.4">
      <c r="A34" s="16">
        <v>46008</v>
      </c>
      <c r="B34" s="17" t="s">
        <v>23</v>
      </c>
      <c r="C34" s="18">
        <v>3.2</v>
      </c>
      <c r="D34" s="18">
        <v>1.1000000000000001</v>
      </c>
      <c r="E34" s="18">
        <v>2.1</v>
      </c>
      <c r="F34" s="19">
        <v>0.08</v>
      </c>
      <c r="G34" s="19">
        <v>0.75</v>
      </c>
      <c r="H34" s="19">
        <v>0.01</v>
      </c>
      <c r="I34" s="19">
        <v>660</v>
      </c>
      <c r="J34" s="19">
        <v>639</v>
      </c>
      <c r="K34" s="18">
        <f t="shared" si="5"/>
        <v>1341.9</v>
      </c>
      <c r="L34" s="20">
        <f>K34+K35</f>
        <v>1491.9</v>
      </c>
      <c r="M34" s="18">
        <f t="shared" si="1"/>
        <v>1386</v>
      </c>
      <c r="N34" s="20">
        <f>M34+M35</f>
        <v>2448.5</v>
      </c>
      <c r="O34" s="22">
        <f t="shared" si="2"/>
        <v>52.800000000000004</v>
      </c>
      <c r="P34" s="23">
        <f>O34+O35</f>
        <v>86.800000000000011</v>
      </c>
      <c r="Q34" s="19">
        <v>64</v>
      </c>
      <c r="R34" s="24">
        <f>Q34+Q35</f>
        <v>104</v>
      </c>
      <c r="S34" s="24">
        <f>S32-U32-U33+T34</f>
        <v>792.90000000000055</v>
      </c>
      <c r="T34" s="24">
        <v>0</v>
      </c>
      <c r="U34" s="19">
        <f t="shared" si="3"/>
        <v>495</v>
      </c>
      <c r="V34" s="24">
        <f>V32-X32-X33+W34</f>
        <v>25.276999999999987</v>
      </c>
      <c r="W34" s="24">
        <v>0</v>
      </c>
      <c r="X34" s="19">
        <f t="shared" si="4"/>
        <v>6.6000000000000005</v>
      </c>
    </row>
    <row r="35" spans="1:24" ht="20.149999999999999" customHeight="1" x14ac:dyDescent="0.4">
      <c r="A35" s="16">
        <v>46008</v>
      </c>
      <c r="B35" s="25" t="s">
        <v>25</v>
      </c>
      <c r="C35" s="18">
        <v>22</v>
      </c>
      <c r="D35" s="18">
        <v>9.5</v>
      </c>
      <c r="E35" s="18">
        <v>12.5</v>
      </c>
      <c r="F35" s="19">
        <v>0.4</v>
      </c>
      <c r="G35" s="27">
        <v>0.6</v>
      </c>
      <c r="H35" s="19">
        <v>3.0000000000000001E-3</v>
      </c>
      <c r="I35" s="19">
        <v>85</v>
      </c>
      <c r="J35" s="19">
        <v>12</v>
      </c>
      <c r="K35" s="18">
        <f t="shared" si="5"/>
        <v>150</v>
      </c>
      <c r="L35" s="21"/>
      <c r="M35" s="18">
        <f t="shared" si="1"/>
        <v>1062.5</v>
      </c>
      <c r="N35" s="21"/>
      <c r="O35" s="22">
        <f t="shared" si="2"/>
        <v>34</v>
      </c>
      <c r="P35" s="26"/>
      <c r="Q35" s="19">
        <v>40</v>
      </c>
      <c r="R35" s="24"/>
      <c r="S35" s="24"/>
      <c r="T35" s="24"/>
      <c r="U35" s="19">
        <f t="shared" si="3"/>
        <v>51</v>
      </c>
      <c r="V35" s="24"/>
      <c r="W35" s="24"/>
      <c r="X35" s="19">
        <f t="shared" si="4"/>
        <v>0.255</v>
      </c>
    </row>
    <row r="36" spans="1:24" ht="20.149999999999999" customHeight="1" x14ac:dyDescent="0.4">
      <c r="A36" s="16">
        <v>46009</v>
      </c>
      <c r="B36" s="17" t="s">
        <v>23</v>
      </c>
      <c r="C36" s="18">
        <v>3.2</v>
      </c>
      <c r="D36" s="18">
        <v>1.1000000000000001</v>
      </c>
      <c r="E36" s="18">
        <v>2.1</v>
      </c>
      <c r="F36" s="19">
        <v>0.08</v>
      </c>
      <c r="G36" s="19">
        <v>0.75</v>
      </c>
      <c r="H36" s="19">
        <v>0.01</v>
      </c>
      <c r="I36" s="19">
        <v>680</v>
      </c>
      <c r="J36" s="19">
        <v>670</v>
      </c>
      <c r="K36" s="18">
        <f t="shared" si="5"/>
        <v>1407</v>
      </c>
      <c r="L36" s="20">
        <f>K36+K37</f>
        <v>1932</v>
      </c>
      <c r="M36" s="18">
        <f t="shared" si="1"/>
        <v>1428</v>
      </c>
      <c r="N36" s="20">
        <f>M36+M37</f>
        <v>1953</v>
      </c>
      <c r="O36" s="22">
        <f t="shared" si="2"/>
        <v>54.4</v>
      </c>
      <c r="P36" s="23">
        <f>O36+O37</f>
        <v>71.2</v>
      </c>
      <c r="Q36" s="19">
        <v>64</v>
      </c>
      <c r="R36" s="24">
        <f>Q36+Q37</f>
        <v>104</v>
      </c>
      <c r="S36" s="24">
        <f>S34-U34-U35+T36</f>
        <v>246.90000000000055</v>
      </c>
      <c r="T36" s="24">
        <v>0</v>
      </c>
      <c r="U36" s="19">
        <f t="shared" si="3"/>
        <v>510</v>
      </c>
      <c r="V36" s="24">
        <f>V34-X34-X35+W36</f>
        <v>18.421999999999986</v>
      </c>
      <c r="W36" s="24">
        <v>0</v>
      </c>
      <c r="X36" s="19">
        <f t="shared" si="4"/>
        <v>6.8</v>
      </c>
    </row>
    <row r="37" spans="1:24" ht="20.149999999999999" customHeight="1" x14ac:dyDescent="0.4">
      <c r="A37" s="16">
        <v>46009</v>
      </c>
      <c r="B37" s="25" t="s">
        <v>25</v>
      </c>
      <c r="C37" s="18">
        <v>22</v>
      </c>
      <c r="D37" s="18">
        <v>9.5</v>
      </c>
      <c r="E37" s="18">
        <v>12.5</v>
      </c>
      <c r="F37" s="19">
        <v>0.4</v>
      </c>
      <c r="G37" s="27">
        <v>0.6</v>
      </c>
      <c r="H37" s="19">
        <v>3.0000000000000001E-3</v>
      </c>
      <c r="I37" s="19">
        <v>42</v>
      </c>
      <c r="J37" s="19">
        <v>42</v>
      </c>
      <c r="K37" s="18">
        <f t="shared" si="5"/>
        <v>525</v>
      </c>
      <c r="L37" s="21"/>
      <c r="M37" s="18">
        <f t="shared" si="1"/>
        <v>525</v>
      </c>
      <c r="N37" s="21"/>
      <c r="O37" s="22">
        <f t="shared" si="2"/>
        <v>16.8</v>
      </c>
      <c r="P37" s="26"/>
      <c r="Q37" s="19">
        <v>40</v>
      </c>
      <c r="R37" s="24"/>
      <c r="S37" s="24"/>
      <c r="T37" s="24"/>
      <c r="U37" s="19">
        <f t="shared" si="3"/>
        <v>25.2</v>
      </c>
      <c r="V37" s="24"/>
      <c r="W37" s="24"/>
      <c r="X37" s="19">
        <f t="shared" si="4"/>
        <v>0.126</v>
      </c>
    </row>
    <row r="38" spans="1:24" ht="20.149999999999999" customHeight="1" x14ac:dyDescent="0.4">
      <c r="A38" s="16">
        <v>46010</v>
      </c>
      <c r="B38" s="17" t="s">
        <v>23</v>
      </c>
      <c r="C38" s="18">
        <v>3.2</v>
      </c>
      <c r="D38" s="18">
        <v>1.1000000000000001</v>
      </c>
      <c r="E38" s="18">
        <v>2.1</v>
      </c>
      <c r="F38" s="19">
        <v>0.08</v>
      </c>
      <c r="G38" s="19">
        <v>0.75</v>
      </c>
      <c r="H38" s="19">
        <v>0.01</v>
      </c>
      <c r="I38" s="19">
        <v>660</v>
      </c>
      <c r="J38" s="19">
        <v>660</v>
      </c>
      <c r="K38" s="18">
        <f t="shared" si="5"/>
        <v>1386</v>
      </c>
      <c r="L38" s="20">
        <f>K38+K39</f>
        <v>1723.5</v>
      </c>
      <c r="M38" s="18">
        <f t="shared" si="1"/>
        <v>1386</v>
      </c>
      <c r="N38" s="20">
        <f>M38+M39</f>
        <v>1698.5</v>
      </c>
      <c r="O38" s="22">
        <f t="shared" si="2"/>
        <v>52.800000000000004</v>
      </c>
      <c r="P38" s="23">
        <f>O38+O39</f>
        <v>62.800000000000004</v>
      </c>
      <c r="Q38" s="19">
        <v>64</v>
      </c>
      <c r="R38" s="24">
        <f>Q38+Q39</f>
        <v>104</v>
      </c>
      <c r="S38" s="24">
        <f>S36-U36-U37+T38</f>
        <v>6711.7000000000007</v>
      </c>
      <c r="T38" s="24">
        <v>7000</v>
      </c>
      <c r="U38" s="19">
        <f t="shared" si="3"/>
        <v>495</v>
      </c>
      <c r="V38" s="24">
        <f>V36-X36-X37+W38</f>
        <v>81.495999999999981</v>
      </c>
      <c r="W38" s="24">
        <v>70</v>
      </c>
      <c r="X38" s="19">
        <f t="shared" si="4"/>
        <v>6.6000000000000005</v>
      </c>
    </row>
    <row r="39" spans="1:24" ht="20.149999999999999" customHeight="1" x14ac:dyDescent="0.4">
      <c r="A39" s="16">
        <v>46010</v>
      </c>
      <c r="B39" s="25" t="s">
        <v>25</v>
      </c>
      <c r="C39" s="18">
        <v>22</v>
      </c>
      <c r="D39" s="18">
        <v>9.5</v>
      </c>
      <c r="E39" s="18">
        <v>12.5</v>
      </c>
      <c r="F39" s="19">
        <v>0.4</v>
      </c>
      <c r="G39" s="19">
        <v>0.6</v>
      </c>
      <c r="H39" s="19">
        <v>3.0000000000000001E-3</v>
      </c>
      <c r="I39" s="19">
        <v>25</v>
      </c>
      <c r="J39" s="19">
        <v>27</v>
      </c>
      <c r="K39" s="18">
        <f t="shared" si="5"/>
        <v>337.5</v>
      </c>
      <c r="L39" s="21"/>
      <c r="M39" s="18">
        <f t="shared" si="1"/>
        <v>312.5</v>
      </c>
      <c r="N39" s="21"/>
      <c r="O39" s="22">
        <f t="shared" si="2"/>
        <v>10</v>
      </c>
      <c r="P39" s="26"/>
      <c r="Q39" s="19">
        <v>40</v>
      </c>
      <c r="R39" s="24"/>
      <c r="S39" s="24"/>
      <c r="T39" s="24"/>
      <c r="U39" s="19">
        <f t="shared" si="3"/>
        <v>15</v>
      </c>
      <c r="V39" s="24"/>
      <c r="W39" s="24"/>
      <c r="X39" s="19">
        <f t="shared" si="4"/>
        <v>7.4999999999999997E-2</v>
      </c>
    </row>
    <row r="40" spans="1:24" ht="20.149999999999999" customHeight="1" x14ac:dyDescent="0.4">
      <c r="A40" s="16">
        <v>46011</v>
      </c>
      <c r="B40" s="17" t="s">
        <v>23</v>
      </c>
      <c r="C40" s="18">
        <v>3.2</v>
      </c>
      <c r="D40" s="18">
        <v>1.1000000000000001</v>
      </c>
      <c r="E40" s="18">
        <v>2.1</v>
      </c>
      <c r="F40" s="19">
        <v>0.08</v>
      </c>
      <c r="G40" s="19">
        <v>0.75</v>
      </c>
      <c r="H40" s="19">
        <v>0.01</v>
      </c>
      <c r="I40" s="19">
        <v>860</v>
      </c>
      <c r="J40" s="19">
        <v>826</v>
      </c>
      <c r="K40" s="18">
        <f t="shared" si="5"/>
        <v>1734.6000000000001</v>
      </c>
      <c r="L40" s="20">
        <f>K40+K41</f>
        <v>2109.6000000000004</v>
      </c>
      <c r="M40" s="18">
        <f t="shared" si="1"/>
        <v>1806</v>
      </c>
      <c r="N40" s="20">
        <f>M40+M41</f>
        <v>1806</v>
      </c>
      <c r="O40" s="22">
        <f t="shared" si="2"/>
        <v>68.8</v>
      </c>
      <c r="P40" s="23">
        <f>O40+O41</f>
        <v>68.8</v>
      </c>
      <c r="Q40" s="19">
        <v>72</v>
      </c>
      <c r="R40" s="24">
        <f>Q40+Q41</f>
        <v>112</v>
      </c>
      <c r="S40" s="24">
        <f>S38-U38-U39+T40</f>
        <v>6201.7000000000007</v>
      </c>
      <c r="T40" s="24">
        <v>0</v>
      </c>
      <c r="U40" s="19">
        <f t="shared" si="3"/>
        <v>645</v>
      </c>
      <c r="V40" s="24">
        <f>V38-X38-X39+W40</f>
        <v>74.820999999999984</v>
      </c>
      <c r="W40" s="24">
        <v>0</v>
      </c>
      <c r="X40" s="19">
        <f t="shared" si="4"/>
        <v>8.6</v>
      </c>
    </row>
    <row r="41" spans="1:24" ht="20.149999999999999" customHeight="1" x14ac:dyDescent="0.4">
      <c r="A41" s="16">
        <v>46011</v>
      </c>
      <c r="B41" s="25" t="s">
        <v>25</v>
      </c>
      <c r="C41" s="18">
        <v>22</v>
      </c>
      <c r="D41" s="18">
        <v>9.5</v>
      </c>
      <c r="E41" s="18">
        <v>12.5</v>
      </c>
      <c r="F41" s="19">
        <v>0.4</v>
      </c>
      <c r="G41" s="27">
        <v>0.6</v>
      </c>
      <c r="H41" s="19">
        <v>3.0000000000000001E-3</v>
      </c>
      <c r="I41" s="19">
        <v>0</v>
      </c>
      <c r="J41" s="19">
        <v>30</v>
      </c>
      <c r="K41" s="18">
        <f t="shared" si="5"/>
        <v>375</v>
      </c>
      <c r="L41" s="21"/>
      <c r="M41" s="18">
        <f t="shared" si="1"/>
        <v>0</v>
      </c>
      <c r="N41" s="21"/>
      <c r="O41" s="22">
        <f t="shared" si="2"/>
        <v>0</v>
      </c>
      <c r="P41" s="26"/>
      <c r="Q41" s="19">
        <v>40</v>
      </c>
      <c r="R41" s="24"/>
      <c r="S41" s="24"/>
      <c r="T41" s="24"/>
      <c r="U41" s="19">
        <f t="shared" si="3"/>
        <v>0</v>
      </c>
      <c r="V41" s="24"/>
      <c r="W41" s="24"/>
      <c r="X41" s="19">
        <f t="shared" si="4"/>
        <v>0</v>
      </c>
    </row>
    <row r="42" spans="1:24" ht="20.149999999999999" customHeight="1" x14ac:dyDescent="0.4">
      <c r="A42" s="16">
        <v>46012</v>
      </c>
      <c r="B42" s="17" t="s">
        <v>23</v>
      </c>
      <c r="C42" s="18">
        <v>3.2</v>
      </c>
      <c r="D42" s="18">
        <v>1.1000000000000001</v>
      </c>
      <c r="E42" s="18">
        <v>2.1</v>
      </c>
      <c r="F42" s="19">
        <v>0.08</v>
      </c>
      <c r="G42" s="19">
        <v>0.75</v>
      </c>
      <c r="H42" s="19">
        <v>0.01</v>
      </c>
      <c r="I42" s="19">
        <v>420</v>
      </c>
      <c r="J42" s="19">
        <v>420</v>
      </c>
      <c r="K42" s="18">
        <f t="shared" si="5"/>
        <v>882</v>
      </c>
      <c r="L42" s="20">
        <f>K42+K43</f>
        <v>882</v>
      </c>
      <c r="M42" s="18">
        <f t="shared" si="1"/>
        <v>882</v>
      </c>
      <c r="N42" s="20">
        <f>M42+M43</f>
        <v>882</v>
      </c>
      <c r="O42" s="22">
        <f t="shared" si="2"/>
        <v>33.6</v>
      </c>
      <c r="P42" s="23">
        <f>O42+O43</f>
        <v>33.6</v>
      </c>
      <c r="Q42" s="19">
        <v>64</v>
      </c>
      <c r="R42" s="24">
        <f>Q42+Q43</f>
        <v>104</v>
      </c>
      <c r="S42" s="24">
        <f>S40-U40-U41+T42</f>
        <v>5556.7000000000007</v>
      </c>
      <c r="T42" s="24">
        <v>0</v>
      </c>
      <c r="U42" s="19">
        <f t="shared" si="3"/>
        <v>315</v>
      </c>
      <c r="V42" s="24">
        <f>V40-X40-X41+W42</f>
        <v>66.220999999999989</v>
      </c>
      <c r="W42" s="24">
        <v>0</v>
      </c>
      <c r="X42" s="19">
        <f t="shared" si="4"/>
        <v>4.2</v>
      </c>
    </row>
    <row r="43" spans="1:24" ht="20.149999999999999" customHeight="1" x14ac:dyDescent="0.4">
      <c r="A43" s="16">
        <v>46377</v>
      </c>
      <c r="B43" s="25" t="s">
        <v>25</v>
      </c>
      <c r="C43" s="18">
        <v>22</v>
      </c>
      <c r="D43" s="18">
        <v>9.5</v>
      </c>
      <c r="E43" s="18">
        <v>12.5</v>
      </c>
      <c r="F43" s="19">
        <v>0.4</v>
      </c>
      <c r="G43" s="27">
        <v>0.6</v>
      </c>
      <c r="H43" s="19">
        <v>3.0000000000000001E-3</v>
      </c>
      <c r="I43" s="19">
        <v>0</v>
      </c>
      <c r="J43" s="19">
        <v>0</v>
      </c>
      <c r="K43" s="18">
        <f t="shared" si="5"/>
        <v>0</v>
      </c>
      <c r="L43" s="21"/>
      <c r="M43" s="18">
        <f t="shared" si="1"/>
        <v>0</v>
      </c>
      <c r="N43" s="21"/>
      <c r="O43" s="22">
        <f t="shared" si="2"/>
        <v>0</v>
      </c>
      <c r="P43" s="26"/>
      <c r="Q43" s="19">
        <v>40</v>
      </c>
      <c r="R43" s="24"/>
      <c r="S43" s="24"/>
      <c r="T43" s="24"/>
      <c r="U43" s="19">
        <f t="shared" si="3"/>
        <v>0</v>
      </c>
      <c r="V43" s="24"/>
      <c r="W43" s="24"/>
      <c r="X43" s="19">
        <f t="shared" si="4"/>
        <v>0</v>
      </c>
    </row>
    <row r="44" spans="1:24" ht="20.149999999999999" customHeight="1" x14ac:dyDescent="0.4">
      <c r="A44" s="16">
        <v>46013</v>
      </c>
      <c r="B44" s="17" t="s">
        <v>23</v>
      </c>
      <c r="C44" s="18">
        <v>3.2</v>
      </c>
      <c r="D44" s="18">
        <v>1.1000000000000001</v>
      </c>
      <c r="E44" s="18">
        <v>2.1</v>
      </c>
      <c r="F44" s="19">
        <v>0.08</v>
      </c>
      <c r="G44" s="19">
        <v>0.75</v>
      </c>
      <c r="H44" s="19">
        <v>0.01</v>
      </c>
      <c r="I44" s="19">
        <v>580</v>
      </c>
      <c r="J44" s="19">
        <v>540</v>
      </c>
      <c r="K44" s="18">
        <f t="shared" si="5"/>
        <v>1134</v>
      </c>
      <c r="L44" s="20">
        <f>K44+K45</f>
        <v>1421.5</v>
      </c>
      <c r="M44" s="18">
        <f t="shared" si="1"/>
        <v>1218</v>
      </c>
      <c r="N44" s="20">
        <f>M44+M45</f>
        <v>1680.5</v>
      </c>
      <c r="O44" s="22">
        <f t="shared" si="2"/>
        <v>46.4</v>
      </c>
      <c r="P44" s="23">
        <f>O44+O45</f>
        <v>61.2</v>
      </c>
      <c r="Q44" s="19">
        <v>64</v>
      </c>
      <c r="R44" s="24">
        <f>Q44+Q45</f>
        <v>104</v>
      </c>
      <c r="S44" s="24">
        <f>S42-U42-U43+T44</f>
        <v>5241.7000000000007</v>
      </c>
      <c r="T44" s="24">
        <v>0</v>
      </c>
      <c r="U44" s="19">
        <f t="shared" si="3"/>
        <v>435</v>
      </c>
      <c r="V44" s="24">
        <f>V42-X42-X43+W44</f>
        <v>62.020999999999987</v>
      </c>
      <c r="W44" s="24">
        <v>0</v>
      </c>
      <c r="X44" s="19">
        <f t="shared" si="4"/>
        <v>5.8</v>
      </c>
    </row>
    <row r="45" spans="1:24" ht="20.149999999999999" customHeight="1" x14ac:dyDescent="0.4">
      <c r="A45" s="16">
        <v>46013</v>
      </c>
      <c r="B45" s="25" t="s">
        <v>25</v>
      </c>
      <c r="C45" s="18">
        <v>22</v>
      </c>
      <c r="D45" s="18">
        <v>9.5</v>
      </c>
      <c r="E45" s="18">
        <v>12.5</v>
      </c>
      <c r="F45" s="19">
        <v>0.4</v>
      </c>
      <c r="G45" s="19">
        <v>0.6</v>
      </c>
      <c r="H45" s="19">
        <v>3.0000000000000001E-3</v>
      </c>
      <c r="I45" s="19">
        <v>37</v>
      </c>
      <c r="J45" s="19">
        <v>23</v>
      </c>
      <c r="K45" s="18">
        <f t="shared" si="5"/>
        <v>287.5</v>
      </c>
      <c r="L45" s="21"/>
      <c r="M45" s="18">
        <f t="shared" si="1"/>
        <v>462.5</v>
      </c>
      <c r="N45" s="21"/>
      <c r="O45" s="22">
        <f t="shared" si="2"/>
        <v>14.8</v>
      </c>
      <c r="P45" s="26"/>
      <c r="Q45" s="19">
        <v>40</v>
      </c>
      <c r="R45" s="24"/>
      <c r="S45" s="24"/>
      <c r="T45" s="24"/>
      <c r="U45" s="19">
        <f t="shared" si="3"/>
        <v>22.2</v>
      </c>
      <c r="V45" s="24"/>
      <c r="W45" s="24"/>
      <c r="X45" s="19">
        <f t="shared" si="4"/>
        <v>0.111</v>
      </c>
    </row>
    <row r="46" spans="1:24" ht="20.149999999999999" customHeight="1" x14ac:dyDescent="0.4">
      <c r="A46" s="16">
        <v>46014</v>
      </c>
      <c r="B46" s="17" t="s">
        <v>23</v>
      </c>
      <c r="C46" s="18">
        <v>3.2</v>
      </c>
      <c r="D46" s="18">
        <v>1.1000000000000001</v>
      </c>
      <c r="E46" s="18">
        <v>2.1</v>
      </c>
      <c r="F46" s="19">
        <v>0.08</v>
      </c>
      <c r="G46" s="19">
        <v>0.75</v>
      </c>
      <c r="H46" s="19">
        <v>0.01</v>
      </c>
      <c r="I46" s="19">
        <v>720</v>
      </c>
      <c r="J46" s="19">
        <v>720</v>
      </c>
      <c r="K46" s="18">
        <f t="shared" si="5"/>
        <v>1512</v>
      </c>
      <c r="L46" s="20">
        <f>K46+K47</f>
        <v>1762</v>
      </c>
      <c r="M46" s="18">
        <f t="shared" si="1"/>
        <v>1512</v>
      </c>
      <c r="N46" s="20">
        <f>M46+M47</f>
        <v>2824.5</v>
      </c>
      <c r="O46" s="22">
        <f t="shared" si="2"/>
        <v>57.6</v>
      </c>
      <c r="P46" s="23">
        <f>O46+O47</f>
        <v>99.6</v>
      </c>
      <c r="Q46" s="19">
        <v>64</v>
      </c>
      <c r="R46" s="24">
        <f>Q46+Q47</f>
        <v>104</v>
      </c>
      <c r="S46" s="24">
        <f>S44-U44-U45+T46</f>
        <v>4784.5000000000009</v>
      </c>
      <c r="T46" s="24">
        <v>0</v>
      </c>
      <c r="U46" s="19">
        <f t="shared" si="3"/>
        <v>540</v>
      </c>
      <c r="V46" s="24">
        <f>V44-X44-X45+W46</f>
        <v>56.109999999999992</v>
      </c>
      <c r="W46" s="24">
        <v>0</v>
      </c>
      <c r="X46" s="19">
        <f t="shared" si="4"/>
        <v>7.2</v>
      </c>
    </row>
    <row r="47" spans="1:24" ht="20.149999999999999" customHeight="1" x14ac:dyDescent="0.4">
      <c r="A47" s="16">
        <v>46379</v>
      </c>
      <c r="B47" s="25" t="s">
        <v>25</v>
      </c>
      <c r="C47" s="18">
        <v>22</v>
      </c>
      <c r="D47" s="18">
        <v>9.5</v>
      </c>
      <c r="E47" s="18">
        <v>12.5</v>
      </c>
      <c r="F47" s="19">
        <v>0.4</v>
      </c>
      <c r="G47" s="27">
        <v>0.6</v>
      </c>
      <c r="H47" s="19">
        <v>3.0000000000000001E-3</v>
      </c>
      <c r="I47" s="19">
        <v>105</v>
      </c>
      <c r="J47" s="19">
        <v>20</v>
      </c>
      <c r="K47" s="18">
        <f t="shared" si="5"/>
        <v>250</v>
      </c>
      <c r="L47" s="21"/>
      <c r="M47" s="18">
        <f t="shared" si="1"/>
        <v>1312.5</v>
      </c>
      <c r="N47" s="21"/>
      <c r="O47" s="22">
        <f t="shared" si="2"/>
        <v>42</v>
      </c>
      <c r="P47" s="26"/>
      <c r="Q47" s="19">
        <v>40</v>
      </c>
      <c r="R47" s="24"/>
      <c r="S47" s="24"/>
      <c r="T47" s="24"/>
      <c r="U47" s="19">
        <f t="shared" si="3"/>
        <v>63</v>
      </c>
      <c r="V47" s="24"/>
      <c r="W47" s="24"/>
      <c r="X47" s="19">
        <f t="shared" si="4"/>
        <v>0.315</v>
      </c>
    </row>
    <row r="48" spans="1:24" ht="20.149999999999999" customHeight="1" x14ac:dyDescent="0.4">
      <c r="A48" s="16">
        <v>46015</v>
      </c>
      <c r="B48" s="17" t="s">
        <v>23</v>
      </c>
      <c r="C48" s="18">
        <v>3.2</v>
      </c>
      <c r="D48" s="18">
        <v>1.1000000000000001</v>
      </c>
      <c r="E48" s="18">
        <v>2.1</v>
      </c>
      <c r="F48" s="19">
        <v>0.06</v>
      </c>
      <c r="G48" s="19">
        <v>0.75</v>
      </c>
      <c r="H48" s="19">
        <v>0.01</v>
      </c>
      <c r="I48" s="19">
        <v>1500</v>
      </c>
      <c r="J48" s="19">
        <v>1410</v>
      </c>
      <c r="K48" s="18">
        <f t="shared" si="5"/>
        <v>2961</v>
      </c>
      <c r="L48" s="20">
        <f>K48+K49</f>
        <v>3798.5</v>
      </c>
      <c r="M48" s="18">
        <f t="shared" si="1"/>
        <v>3150</v>
      </c>
      <c r="N48" s="20">
        <f>M48+M49</f>
        <v>3150</v>
      </c>
      <c r="O48" s="22">
        <f t="shared" si="2"/>
        <v>90</v>
      </c>
      <c r="P48" s="23">
        <f>O48+O49</f>
        <v>90</v>
      </c>
      <c r="Q48" s="19">
        <v>64</v>
      </c>
      <c r="R48" s="24">
        <f>Q48+Q49</f>
        <v>104</v>
      </c>
      <c r="S48" s="24">
        <f>S46-U46-U47+T48</f>
        <v>4181.5000000000009</v>
      </c>
      <c r="T48" s="24">
        <v>0</v>
      </c>
      <c r="U48" s="19">
        <f t="shared" si="3"/>
        <v>1125</v>
      </c>
      <c r="V48" s="24">
        <f>V46-X46-X47+W48</f>
        <v>48.594999999999992</v>
      </c>
      <c r="W48" s="24">
        <v>0</v>
      </c>
      <c r="X48" s="19">
        <f t="shared" si="4"/>
        <v>15</v>
      </c>
    </row>
    <row r="49" spans="1:24" ht="20.149999999999999" customHeight="1" x14ac:dyDescent="0.4">
      <c r="A49" s="16">
        <v>46380</v>
      </c>
      <c r="B49" s="25" t="s">
        <v>25</v>
      </c>
      <c r="C49" s="18">
        <v>22</v>
      </c>
      <c r="D49" s="18">
        <v>9.5</v>
      </c>
      <c r="E49" s="18">
        <v>12.5</v>
      </c>
      <c r="F49" s="19">
        <v>0.4</v>
      </c>
      <c r="G49" s="27">
        <v>0.6</v>
      </c>
      <c r="H49" s="19">
        <v>3.0000000000000001E-3</v>
      </c>
      <c r="I49" s="19">
        <v>0</v>
      </c>
      <c r="J49" s="19">
        <v>67</v>
      </c>
      <c r="K49" s="18">
        <f t="shared" si="5"/>
        <v>837.5</v>
      </c>
      <c r="L49" s="21"/>
      <c r="M49" s="18">
        <f t="shared" si="1"/>
        <v>0</v>
      </c>
      <c r="N49" s="21"/>
      <c r="O49" s="22">
        <f t="shared" si="2"/>
        <v>0</v>
      </c>
      <c r="P49" s="26"/>
      <c r="Q49" s="19">
        <v>40</v>
      </c>
      <c r="R49" s="24"/>
      <c r="S49" s="24"/>
      <c r="T49" s="24"/>
      <c r="U49" s="19">
        <f t="shared" si="3"/>
        <v>0</v>
      </c>
      <c r="V49" s="24"/>
      <c r="W49" s="24"/>
      <c r="X49" s="19">
        <f t="shared" si="4"/>
        <v>0</v>
      </c>
    </row>
    <row r="50" spans="1:24" ht="20.149999999999999" customHeight="1" x14ac:dyDescent="0.4">
      <c r="A50" s="16">
        <v>46016</v>
      </c>
      <c r="B50" s="17" t="s">
        <v>23</v>
      </c>
      <c r="C50" s="18">
        <v>3.2</v>
      </c>
      <c r="D50" s="18">
        <v>1.1000000000000001</v>
      </c>
      <c r="E50" s="18">
        <v>2.1</v>
      </c>
      <c r="F50" s="19">
        <v>0.08</v>
      </c>
      <c r="G50" s="19">
        <v>0.75</v>
      </c>
      <c r="H50" s="19">
        <v>0.01</v>
      </c>
      <c r="I50" s="19">
        <v>0</v>
      </c>
      <c r="J50" s="19">
        <v>0</v>
      </c>
      <c r="K50" s="18">
        <f t="shared" si="5"/>
        <v>0</v>
      </c>
      <c r="L50" s="20">
        <f>K50+K51</f>
        <v>0</v>
      </c>
      <c r="M50" s="18">
        <f t="shared" si="1"/>
        <v>0</v>
      </c>
      <c r="N50" s="20">
        <f>M50+M51</f>
        <v>0</v>
      </c>
      <c r="O50" s="22">
        <f t="shared" si="2"/>
        <v>0</v>
      </c>
      <c r="P50" s="23">
        <f>O50+O51</f>
        <v>0</v>
      </c>
      <c r="Q50" s="19">
        <v>0</v>
      </c>
      <c r="R50" s="24">
        <f>Q50+Q51</f>
        <v>0</v>
      </c>
      <c r="S50" s="24">
        <f>S48-U48-U49+T50</f>
        <v>3056.5000000000009</v>
      </c>
      <c r="T50" s="24">
        <v>0</v>
      </c>
      <c r="U50" s="19">
        <f t="shared" si="3"/>
        <v>0</v>
      </c>
      <c r="V50" s="24">
        <f>V48-X48-X49+W50</f>
        <v>33.594999999999992</v>
      </c>
      <c r="W50" s="24">
        <v>0</v>
      </c>
      <c r="X50" s="19">
        <f t="shared" si="4"/>
        <v>0</v>
      </c>
    </row>
    <row r="51" spans="1:24" ht="20.149999999999999" customHeight="1" x14ac:dyDescent="0.4">
      <c r="A51" s="16">
        <v>46381</v>
      </c>
      <c r="B51" s="25" t="s">
        <v>25</v>
      </c>
      <c r="C51" s="18">
        <v>22</v>
      </c>
      <c r="D51" s="18">
        <v>9.5</v>
      </c>
      <c r="E51" s="18">
        <v>12.5</v>
      </c>
      <c r="F51" s="19">
        <v>0.4</v>
      </c>
      <c r="G51" s="19">
        <v>0.6</v>
      </c>
      <c r="H51" s="19">
        <v>3.0000000000000001E-3</v>
      </c>
      <c r="I51" s="19">
        <v>0</v>
      </c>
      <c r="J51" s="19">
        <v>0</v>
      </c>
      <c r="K51" s="18">
        <f t="shared" si="5"/>
        <v>0</v>
      </c>
      <c r="L51" s="21"/>
      <c r="M51" s="18">
        <f t="shared" si="1"/>
        <v>0</v>
      </c>
      <c r="N51" s="21"/>
      <c r="O51" s="22">
        <f t="shared" si="2"/>
        <v>0</v>
      </c>
      <c r="P51" s="26"/>
      <c r="Q51" s="19">
        <v>0</v>
      </c>
      <c r="R51" s="24"/>
      <c r="S51" s="24"/>
      <c r="T51" s="24"/>
      <c r="U51" s="19">
        <f t="shared" si="3"/>
        <v>0</v>
      </c>
      <c r="V51" s="24"/>
      <c r="W51" s="24"/>
      <c r="X51" s="19">
        <f t="shared" si="4"/>
        <v>0</v>
      </c>
    </row>
    <row r="52" spans="1:24" ht="20.149999999999999" customHeight="1" x14ac:dyDescent="0.4">
      <c r="A52" s="16">
        <v>46017</v>
      </c>
      <c r="B52" s="17" t="s">
        <v>23</v>
      </c>
      <c r="C52" s="18">
        <v>3.2</v>
      </c>
      <c r="D52" s="18">
        <v>1.1000000000000001</v>
      </c>
      <c r="E52" s="18">
        <v>2.1</v>
      </c>
      <c r="F52" s="19">
        <v>0.08</v>
      </c>
      <c r="G52" s="19">
        <v>0.75</v>
      </c>
      <c r="H52" s="19">
        <v>0.01</v>
      </c>
      <c r="I52" s="19">
        <v>570</v>
      </c>
      <c r="J52" s="19">
        <v>570</v>
      </c>
      <c r="K52" s="18">
        <f t="shared" si="5"/>
        <v>1197</v>
      </c>
      <c r="L52" s="20">
        <f>K52+K53</f>
        <v>1197</v>
      </c>
      <c r="M52" s="18">
        <f t="shared" si="1"/>
        <v>1197</v>
      </c>
      <c r="N52" s="20">
        <f>M52+M53</f>
        <v>1197</v>
      </c>
      <c r="O52" s="22">
        <f t="shared" si="2"/>
        <v>45.6</v>
      </c>
      <c r="P52" s="23">
        <f>O52+O53</f>
        <v>45.6</v>
      </c>
      <c r="Q52" s="19">
        <v>56</v>
      </c>
      <c r="R52" s="24">
        <f>Q52+Q53</f>
        <v>56</v>
      </c>
      <c r="S52" s="24">
        <f>S50-U50-U51+T52</f>
        <v>3056.5000000000009</v>
      </c>
      <c r="T52" s="24">
        <v>0</v>
      </c>
      <c r="U52" s="19">
        <f t="shared" si="3"/>
        <v>427.5</v>
      </c>
      <c r="V52" s="24">
        <f>V50-X50-X51+W52</f>
        <v>33.594999999999992</v>
      </c>
      <c r="W52" s="24">
        <v>0</v>
      </c>
      <c r="X52" s="19">
        <f t="shared" si="4"/>
        <v>5.7</v>
      </c>
    </row>
    <row r="53" spans="1:24" ht="20.149999999999999" customHeight="1" x14ac:dyDescent="0.4">
      <c r="A53" s="16">
        <v>46382</v>
      </c>
      <c r="B53" s="25" t="s">
        <v>25</v>
      </c>
      <c r="C53" s="18">
        <v>22</v>
      </c>
      <c r="D53" s="18">
        <v>9.5</v>
      </c>
      <c r="E53" s="18">
        <v>12.5</v>
      </c>
      <c r="F53" s="19">
        <v>0.4</v>
      </c>
      <c r="G53" s="27">
        <v>0.6</v>
      </c>
      <c r="H53" s="19">
        <v>3.0000000000000001E-3</v>
      </c>
      <c r="I53" s="19">
        <v>0</v>
      </c>
      <c r="J53" s="19">
        <v>0</v>
      </c>
      <c r="K53" s="18">
        <f t="shared" si="5"/>
        <v>0</v>
      </c>
      <c r="L53" s="21"/>
      <c r="M53" s="18">
        <f t="shared" si="1"/>
        <v>0</v>
      </c>
      <c r="N53" s="21"/>
      <c r="O53" s="22">
        <f t="shared" si="2"/>
        <v>0</v>
      </c>
      <c r="P53" s="26"/>
      <c r="Q53" s="19">
        <v>0</v>
      </c>
      <c r="R53" s="24"/>
      <c r="S53" s="24"/>
      <c r="T53" s="24"/>
      <c r="U53" s="19">
        <f t="shared" si="3"/>
        <v>0</v>
      </c>
      <c r="V53" s="24"/>
      <c r="W53" s="24"/>
      <c r="X53" s="19">
        <f t="shared" si="4"/>
        <v>0</v>
      </c>
    </row>
    <row r="54" spans="1:24" ht="20.149999999999999" customHeight="1" x14ac:dyDescent="0.4">
      <c r="A54" s="16">
        <v>46018</v>
      </c>
      <c r="B54" s="17" t="s">
        <v>23</v>
      </c>
      <c r="C54" s="18">
        <v>3.2</v>
      </c>
      <c r="D54" s="18">
        <v>1.1000000000000001</v>
      </c>
      <c r="E54" s="18">
        <v>2.1</v>
      </c>
      <c r="F54" s="19">
        <v>0.08</v>
      </c>
      <c r="G54" s="19">
        <v>0.75</v>
      </c>
      <c r="H54" s="19">
        <v>0.01</v>
      </c>
      <c r="I54" s="19">
        <v>730</v>
      </c>
      <c r="J54" s="19">
        <v>660</v>
      </c>
      <c r="K54" s="18">
        <f t="shared" si="5"/>
        <v>1386</v>
      </c>
      <c r="L54" s="20">
        <f>K54+K55</f>
        <v>1536</v>
      </c>
      <c r="M54" s="18">
        <f t="shared" si="1"/>
        <v>1533</v>
      </c>
      <c r="N54" s="20">
        <f>M54+M55</f>
        <v>1533</v>
      </c>
      <c r="O54" s="22">
        <f t="shared" si="2"/>
        <v>58.4</v>
      </c>
      <c r="P54" s="23">
        <f>O54+O55</f>
        <v>58.4</v>
      </c>
      <c r="Q54" s="19">
        <v>64</v>
      </c>
      <c r="R54" s="24">
        <f>Q54+Q55</f>
        <v>104</v>
      </c>
      <c r="S54" s="24">
        <f>S52-U52-U53+T54</f>
        <v>2629.0000000000009</v>
      </c>
      <c r="T54" s="24">
        <v>0</v>
      </c>
      <c r="U54" s="19">
        <f t="shared" si="3"/>
        <v>547.5</v>
      </c>
      <c r="V54" s="24">
        <f>V52-X52-X53+W54</f>
        <v>27.894999999999992</v>
      </c>
      <c r="W54" s="24">
        <v>0</v>
      </c>
      <c r="X54" s="19">
        <f t="shared" si="4"/>
        <v>7.3</v>
      </c>
    </row>
    <row r="55" spans="1:24" ht="20.149999999999999" customHeight="1" x14ac:dyDescent="0.4">
      <c r="A55" s="16">
        <v>46383</v>
      </c>
      <c r="B55" s="25" t="s">
        <v>25</v>
      </c>
      <c r="C55" s="18">
        <v>22</v>
      </c>
      <c r="D55" s="18">
        <v>9.5</v>
      </c>
      <c r="E55" s="18">
        <v>12.5</v>
      </c>
      <c r="F55" s="19">
        <v>0.4</v>
      </c>
      <c r="G55" s="27">
        <v>0.6</v>
      </c>
      <c r="H55" s="19">
        <v>3.0000000000000001E-3</v>
      </c>
      <c r="I55" s="19">
        <v>0</v>
      </c>
      <c r="J55" s="19">
        <v>12</v>
      </c>
      <c r="K55" s="18">
        <f t="shared" si="5"/>
        <v>150</v>
      </c>
      <c r="L55" s="21"/>
      <c r="M55" s="18">
        <f t="shared" si="1"/>
        <v>0</v>
      </c>
      <c r="N55" s="21"/>
      <c r="O55" s="22">
        <f t="shared" si="2"/>
        <v>0</v>
      </c>
      <c r="P55" s="26"/>
      <c r="Q55" s="19">
        <v>40</v>
      </c>
      <c r="R55" s="24"/>
      <c r="S55" s="24"/>
      <c r="T55" s="24"/>
      <c r="U55" s="19">
        <f t="shared" si="3"/>
        <v>0</v>
      </c>
      <c r="V55" s="24"/>
      <c r="W55" s="24"/>
      <c r="X55" s="19">
        <f t="shared" si="4"/>
        <v>0</v>
      </c>
    </row>
    <row r="56" spans="1:24" ht="20.149999999999999" customHeight="1" x14ac:dyDescent="0.4">
      <c r="A56" s="16">
        <v>46019</v>
      </c>
      <c r="B56" s="17" t="s">
        <v>23</v>
      </c>
      <c r="C56" s="18">
        <v>3.2</v>
      </c>
      <c r="D56" s="18">
        <v>1.1000000000000001</v>
      </c>
      <c r="E56" s="18">
        <v>2.1</v>
      </c>
      <c r="F56" s="19">
        <v>0.08</v>
      </c>
      <c r="G56" s="19">
        <v>0.75</v>
      </c>
      <c r="H56" s="19">
        <v>0.01</v>
      </c>
      <c r="I56" s="19">
        <v>280</v>
      </c>
      <c r="J56" s="19">
        <v>280</v>
      </c>
      <c r="K56" s="18">
        <f t="shared" si="5"/>
        <v>588</v>
      </c>
      <c r="L56" s="20">
        <f>K56+K57</f>
        <v>650.5</v>
      </c>
      <c r="M56" s="18">
        <f t="shared" si="1"/>
        <v>588</v>
      </c>
      <c r="N56" s="20">
        <f>M56+M57</f>
        <v>588</v>
      </c>
      <c r="O56" s="22">
        <f t="shared" si="2"/>
        <v>22.400000000000002</v>
      </c>
      <c r="P56" s="23">
        <f>O56+O57</f>
        <v>22.400000000000002</v>
      </c>
      <c r="Q56" s="19">
        <v>64</v>
      </c>
      <c r="R56" s="24">
        <f>Q56+Q57</f>
        <v>104</v>
      </c>
      <c r="S56" s="24">
        <f>S54-U54-U55+T56</f>
        <v>2081.5000000000009</v>
      </c>
      <c r="T56" s="24">
        <v>0</v>
      </c>
      <c r="U56" s="19">
        <f t="shared" si="3"/>
        <v>210</v>
      </c>
      <c r="V56" s="24">
        <f>V54-X54-X55+W56</f>
        <v>20.594999999999992</v>
      </c>
      <c r="W56" s="24">
        <v>0</v>
      </c>
      <c r="X56" s="19">
        <f t="shared" si="4"/>
        <v>2.8000000000000003</v>
      </c>
    </row>
    <row r="57" spans="1:24" ht="20.149999999999999" customHeight="1" x14ac:dyDescent="0.4">
      <c r="A57" s="16">
        <v>46384</v>
      </c>
      <c r="B57" s="25" t="s">
        <v>25</v>
      </c>
      <c r="C57" s="18">
        <v>22</v>
      </c>
      <c r="D57" s="18">
        <v>9.5</v>
      </c>
      <c r="E57" s="18">
        <v>12.5</v>
      </c>
      <c r="F57" s="19">
        <v>0.4</v>
      </c>
      <c r="G57" s="19">
        <v>0.6</v>
      </c>
      <c r="H57" s="19">
        <v>3.0000000000000001E-3</v>
      </c>
      <c r="I57" s="19">
        <v>0</v>
      </c>
      <c r="J57" s="19">
        <v>5</v>
      </c>
      <c r="K57" s="18">
        <f t="shared" si="5"/>
        <v>62.5</v>
      </c>
      <c r="L57" s="21"/>
      <c r="M57" s="18">
        <f t="shared" si="1"/>
        <v>0</v>
      </c>
      <c r="N57" s="21"/>
      <c r="O57" s="22">
        <f t="shared" si="2"/>
        <v>0</v>
      </c>
      <c r="P57" s="26"/>
      <c r="Q57" s="19">
        <v>40</v>
      </c>
      <c r="R57" s="24"/>
      <c r="S57" s="24"/>
      <c r="T57" s="24"/>
      <c r="U57" s="19">
        <f t="shared" si="3"/>
        <v>0</v>
      </c>
      <c r="V57" s="24"/>
      <c r="W57" s="24"/>
      <c r="X57" s="19">
        <f t="shared" si="4"/>
        <v>0</v>
      </c>
    </row>
    <row r="58" spans="1:24" ht="20.149999999999999" customHeight="1" x14ac:dyDescent="0.4">
      <c r="A58" s="16">
        <v>46020</v>
      </c>
      <c r="B58" s="17" t="s">
        <v>23</v>
      </c>
      <c r="C58" s="18">
        <v>3.2</v>
      </c>
      <c r="D58" s="18">
        <v>1.1000000000000001</v>
      </c>
      <c r="E58" s="18">
        <v>2.1</v>
      </c>
      <c r="F58" s="19">
        <v>0.08</v>
      </c>
      <c r="G58" s="19">
        <v>0.75</v>
      </c>
      <c r="H58" s="19">
        <v>0.01</v>
      </c>
      <c r="I58" s="19">
        <v>570</v>
      </c>
      <c r="J58" s="19">
        <v>537</v>
      </c>
      <c r="K58" s="18">
        <f t="shared" si="5"/>
        <v>1127.7</v>
      </c>
      <c r="L58" s="20">
        <f>K58+K59</f>
        <v>1177.7</v>
      </c>
      <c r="M58" s="18">
        <f t="shared" si="1"/>
        <v>1197</v>
      </c>
      <c r="N58" s="20">
        <f>M58+M59</f>
        <v>1322</v>
      </c>
      <c r="O58" s="22">
        <f t="shared" si="2"/>
        <v>45.6</v>
      </c>
      <c r="P58" s="23">
        <f>O58+O59</f>
        <v>49.6</v>
      </c>
      <c r="Q58" s="19">
        <v>64</v>
      </c>
      <c r="R58" s="24">
        <f>Q58+Q59</f>
        <v>104</v>
      </c>
      <c r="S58" s="24">
        <f>S56-U56-U57+T58</f>
        <v>3871.5000000000009</v>
      </c>
      <c r="T58" s="24">
        <v>2000</v>
      </c>
      <c r="U58" s="19">
        <f t="shared" si="3"/>
        <v>427.5</v>
      </c>
      <c r="V58" s="24">
        <f>V56-X56-X57+W58</f>
        <v>62.794999999999987</v>
      </c>
      <c r="W58" s="24">
        <v>45</v>
      </c>
      <c r="X58" s="19">
        <f t="shared" si="4"/>
        <v>5.7</v>
      </c>
    </row>
    <row r="59" spans="1:24" ht="20.149999999999999" customHeight="1" x14ac:dyDescent="0.4">
      <c r="A59" s="16">
        <v>46385</v>
      </c>
      <c r="B59" s="25" t="s">
        <v>25</v>
      </c>
      <c r="C59" s="18">
        <v>22</v>
      </c>
      <c r="D59" s="18">
        <v>9.5</v>
      </c>
      <c r="E59" s="18">
        <v>12.5</v>
      </c>
      <c r="F59" s="19">
        <v>0.4</v>
      </c>
      <c r="G59" s="27">
        <v>0.6</v>
      </c>
      <c r="H59" s="19">
        <v>3.0000000000000001E-3</v>
      </c>
      <c r="I59" s="19">
        <v>10</v>
      </c>
      <c r="J59" s="19">
        <v>4</v>
      </c>
      <c r="K59" s="18">
        <f t="shared" si="5"/>
        <v>50</v>
      </c>
      <c r="L59" s="21"/>
      <c r="M59" s="18">
        <f t="shared" si="1"/>
        <v>125</v>
      </c>
      <c r="N59" s="21"/>
      <c r="O59" s="22">
        <f t="shared" si="2"/>
        <v>4</v>
      </c>
      <c r="P59" s="26"/>
      <c r="Q59" s="19">
        <v>40</v>
      </c>
      <c r="R59" s="24"/>
      <c r="S59" s="24"/>
      <c r="T59" s="24"/>
      <c r="U59" s="19">
        <f t="shared" si="3"/>
        <v>6</v>
      </c>
      <c r="V59" s="24"/>
      <c r="W59" s="24"/>
      <c r="X59" s="19">
        <f t="shared" si="4"/>
        <v>0.03</v>
      </c>
    </row>
    <row r="60" spans="1:24" ht="20.149999999999999" customHeight="1" x14ac:dyDescent="0.4">
      <c r="A60" s="16">
        <v>46021</v>
      </c>
      <c r="B60" s="17" t="s">
        <v>23</v>
      </c>
      <c r="C60" s="18">
        <v>3.2</v>
      </c>
      <c r="D60" s="18">
        <v>1.1000000000000001</v>
      </c>
      <c r="E60" s="18">
        <v>2.1</v>
      </c>
      <c r="F60" s="19">
        <v>0.08</v>
      </c>
      <c r="G60" s="19">
        <v>0.75</v>
      </c>
      <c r="H60" s="19">
        <v>0.01</v>
      </c>
      <c r="I60" s="19">
        <v>330</v>
      </c>
      <c r="J60" s="19">
        <v>330</v>
      </c>
      <c r="K60" s="18">
        <f t="shared" si="5"/>
        <v>693</v>
      </c>
      <c r="L60" s="20">
        <f>K60+K61</f>
        <v>1280.5</v>
      </c>
      <c r="M60" s="18">
        <f t="shared" si="1"/>
        <v>693</v>
      </c>
      <c r="N60" s="20">
        <f>M60+M61</f>
        <v>693</v>
      </c>
      <c r="O60" s="22">
        <f t="shared" si="2"/>
        <v>26.400000000000002</v>
      </c>
      <c r="P60" s="23">
        <f>O60+O61</f>
        <v>26.400000000000002</v>
      </c>
      <c r="Q60" s="19">
        <v>64</v>
      </c>
      <c r="R60" s="24">
        <f>Q60+Q61</f>
        <v>104</v>
      </c>
      <c r="S60" s="24">
        <f>S58-U58-U59+T60</f>
        <v>3438.0000000000009</v>
      </c>
      <c r="T60" s="24">
        <v>0</v>
      </c>
      <c r="U60" s="19">
        <f t="shared" si="3"/>
        <v>247.5</v>
      </c>
      <c r="V60" s="24">
        <f>V58-X58-X59+W60</f>
        <v>57.064999999999984</v>
      </c>
      <c r="W60" s="24">
        <v>0</v>
      </c>
      <c r="X60" s="19">
        <f t="shared" si="4"/>
        <v>3.3000000000000003</v>
      </c>
    </row>
    <row r="61" spans="1:24" ht="20.149999999999999" customHeight="1" x14ac:dyDescent="0.4">
      <c r="A61" s="16">
        <v>46386</v>
      </c>
      <c r="B61" s="25" t="s">
        <v>25</v>
      </c>
      <c r="C61" s="18">
        <v>22</v>
      </c>
      <c r="D61" s="18">
        <v>9.5</v>
      </c>
      <c r="E61" s="18">
        <v>12.5</v>
      </c>
      <c r="F61" s="19">
        <v>0.4</v>
      </c>
      <c r="G61" s="27">
        <v>0.6</v>
      </c>
      <c r="H61" s="19">
        <v>3.0000000000000001E-3</v>
      </c>
      <c r="I61" s="19">
        <v>0</v>
      </c>
      <c r="J61" s="19">
        <v>47</v>
      </c>
      <c r="K61" s="18">
        <f t="shared" si="5"/>
        <v>587.5</v>
      </c>
      <c r="L61" s="21"/>
      <c r="M61" s="18">
        <f t="shared" si="1"/>
        <v>0</v>
      </c>
      <c r="N61" s="21"/>
      <c r="O61" s="22">
        <f t="shared" si="2"/>
        <v>0</v>
      </c>
      <c r="P61" s="26"/>
      <c r="Q61" s="19">
        <v>40</v>
      </c>
      <c r="R61" s="24"/>
      <c r="S61" s="24"/>
      <c r="T61" s="24"/>
      <c r="U61" s="19">
        <f t="shared" si="3"/>
        <v>0</v>
      </c>
      <c r="V61" s="24"/>
      <c r="W61" s="24"/>
      <c r="X61" s="19">
        <f t="shared" si="4"/>
        <v>0</v>
      </c>
    </row>
    <row r="62" spans="1:24" ht="20.149999999999999" customHeight="1" x14ac:dyDescent="0.4">
      <c r="A62" s="16">
        <v>46022</v>
      </c>
      <c r="B62" s="17" t="s">
        <v>23</v>
      </c>
      <c r="C62" s="18">
        <v>3.2</v>
      </c>
      <c r="D62" s="18">
        <v>1.1000000000000001</v>
      </c>
      <c r="E62" s="18">
        <v>2.1</v>
      </c>
      <c r="F62" s="19">
        <v>0.08</v>
      </c>
      <c r="G62" s="19">
        <v>0.75</v>
      </c>
      <c r="H62" s="19">
        <v>0.01</v>
      </c>
      <c r="I62" s="19">
        <v>1100</v>
      </c>
      <c r="J62" s="19">
        <v>1100</v>
      </c>
      <c r="K62" s="18">
        <f t="shared" si="5"/>
        <v>2310</v>
      </c>
      <c r="L62" s="20">
        <f>K62+K63</f>
        <v>3010</v>
      </c>
      <c r="M62" s="18">
        <f t="shared" si="1"/>
        <v>2310</v>
      </c>
      <c r="N62" s="20">
        <f>M62+M63</f>
        <v>2310</v>
      </c>
      <c r="O62" s="22">
        <f t="shared" si="2"/>
        <v>88</v>
      </c>
      <c r="P62" s="23">
        <f>O62+O63</f>
        <v>88</v>
      </c>
      <c r="Q62" s="19">
        <v>64</v>
      </c>
      <c r="R62" s="24">
        <f>Q62+Q63</f>
        <v>104</v>
      </c>
      <c r="S62" s="24">
        <f>S60-U60-U61+T62</f>
        <v>3190.5000000000009</v>
      </c>
      <c r="T62" s="24">
        <v>0</v>
      </c>
      <c r="U62" s="19">
        <f t="shared" si="3"/>
        <v>825</v>
      </c>
      <c r="V62" s="24">
        <f>V60-X60-X61+W62</f>
        <v>53.764999999999986</v>
      </c>
      <c r="W62" s="24">
        <v>0</v>
      </c>
      <c r="X62" s="19">
        <f t="shared" si="4"/>
        <v>11</v>
      </c>
    </row>
    <row r="63" spans="1:24" ht="20.149999999999999" customHeight="1" x14ac:dyDescent="0.4">
      <c r="A63" s="16">
        <v>46387</v>
      </c>
      <c r="B63" s="25" t="s">
        <v>25</v>
      </c>
      <c r="C63" s="18">
        <v>22</v>
      </c>
      <c r="D63" s="18">
        <v>9.5</v>
      </c>
      <c r="E63" s="18">
        <v>12.5</v>
      </c>
      <c r="F63" s="19">
        <v>0.4</v>
      </c>
      <c r="G63" s="19">
        <v>0.6</v>
      </c>
      <c r="H63" s="19">
        <v>3.0000000000000001E-3</v>
      </c>
      <c r="I63" s="19">
        <v>0</v>
      </c>
      <c r="J63" s="19">
        <v>56</v>
      </c>
      <c r="K63" s="18">
        <f t="shared" si="5"/>
        <v>700</v>
      </c>
      <c r="L63" s="21"/>
      <c r="M63" s="18">
        <f t="shared" si="1"/>
        <v>0</v>
      </c>
      <c r="N63" s="21"/>
      <c r="O63" s="22">
        <f t="shared" si="2"/>
        <v>0</v>
      </c>
      <c r="P63" s="26"/>
      <c r="Q63" s="19">
        <v>40</v>
      </c>
      <c r="R63" s="24"/>
      <c r="S63" s="24"/>
      <c r="T63" s="24"/>
      <c r="U63" s="19">
        <f t="shared" si="3"/>
        <v>0</v>
      </c>
      <c r="V63" s="24"/>
      <c r="W63" s="24"/>
      <c r="X63" s="19">
        <f t="shared" si="4"/>
        <v>0</v>
      </c>
    </row>
  </sheetData>
  <mergeCells count="248">
    <mergeCell ref="V62:V63"/>
    <mergeCell ref="W62:W63"/>
    <mergeCell ref="L62:L63"/>
    <mergeCell ref="N62:N63"/>
    <mergeCell ref="P62:P63"/>
    <mergeCell ref="R62:R63"/>
    <mergeCell ref="S62:S63"/>
    <mergeCell ref="T62:T63"/>
    <mergeCell ref="V58:V59"/>
    <mergeCell ref="W58:W59"/>
    <mergeCell ref="L60:L61"/>
    <mergeCell ref="N60:N61"/>
    <mergeCell ref="P60:P61"/>
    <mergeCell ref="R60:R61"/>
    <mergeCell ref="S60:S61"/>
    <mergeCell ref="T60:T61"/>
    <mergeCell ref="V60:V61"/>
    <mergeCell ref="W60:W61"/>
    <mergeCell ref="L58:L59"/>
    <mergeCell ref="N58:N59"/>
    <mergeCell ref="P58:P59"/>
    <mergeCell ref="R58:R59"/>
    <mergeCell ref="S58:S59"/>
    <mergeCell ref="T58:T59"/>
    <mergeCell ref="V54:V55"/>
    <mergeCell ref="W54:W55"/>
    <mergeCell ref="L56:L57"/>
    <mergeCell ref="N56:N57"/>
    <mergeCell ref="P56:P57"/>
    <mergeCell ref="R56:R57"/>
    <mergeCell ref="S56:S57"/>
    <mergeCell ref="T56:T57"/>
    <mergeCell ref="V56:V57"/>
    <mergeCell ref="W56:W57"/>
    <mergeCell ref="L54:L55"/>
    <mergeCell ref="N54:N55"/>
    <mergeCell ref="P54:P55"/>
    <mergeCell ref="R54:R55"/>
    <mergeCell ref="S54:S55"/>
    <mergeCell ref="T54:T55"/>
    <mergeCell ref="V50:V51"/>
    <mergeCell ref="W50:W51"/>
    <mergeCell ref="L52:L53"/>
    <mergeCell ref="N52:N53"/>
    <mergeCell ref="P52:P53"/>
    <mergeCell ref="R52:R53"/>
    <mergeCell ref="S52:S53"/>
    <mergeCell ref="T52:T53"/>
    <mergeCell ref="V52:V53"/>
    <mergeCell ref="W52:W53"/>
    <mergeCell ref="L50:L51"/>
    <mergeCell ref="N50:N51"/>
    <mergeCell ref="P50:P51"/>
    <mergeCell ref="R50:R51"/>
    <mergeCell ref="S50:S51"/>
    <mergeCell ref="T50:T51"/>
    <mergeCell ref="V46:V47"/>
    <mergeCell ref="W46:W47"/>
    <mergeCell ref="L48:L49"/>
    <mergeCell ref="N48:N49"/>
    <mergeCell ref="P48:P49"/>
    <mergeCell ref="R48:R49"/>
    <mergeCell ref="S48:S49"/>
    <mergeCell ref="T48:T49"/>
    <mergeCell ref="V48:V49"/>
    <mergeCell ref="W48:W49"/>
    <mergeCell ref="L46:L47"/>
    <mergeCell ref="N46:N47"/>
    <mergeCell ref="P46:P47"/>
    <mergeCell ref="R46:R47"/>
    <mergeCell ref="S46:S47"/>
    <mergeCell ref="T46:T47"/>
    <mergeCell ref="V42:V43"/>
    <mergeCell ref="W42:W43"/>
    <mergeCell ref="L44:L45"/>
    <mergeCell ref="N44:N45"/>
    <mergeCell ref="P44:P45"/>
    <mergeCell ref="R44:R45"/>
    <mergeCell ref="S44:S45"/>
    <mergeCell ref="T44:T45"/>
    <mergeCell ref="V44:V45"/>
    <mergeCell ref="W44:W45"/>
    <mergeCell ref="L42:L43"/>
    <mergeCell ref="N42:N43"/>
    <mergeCell ref="P42:P43"/>
    <mergeCell ref="R42:R43"/>
    <mergeCell ref="S42:S43"/>
    <mergeCell ref="T42:T43"/>
    <mergeCell ref="V38:V39"/>
    <mergeCell ref="W38:W39"/>
    <mergeCell ref="L40:L41"/>
    <mergeCell ref="N40:N41"/>
    <mergeCell ref="P40:P41"/>
    <mergeCell ref="R40:R41"/>
    <mergeCell ref="S40:S41"/>
    <mergeCell ref="T40:T41"/>
    <mergeCell ref="V40:V41"/>
    <mergeCell ref="W40:W41"/>
    <mergeCell ref="L38:L39"/>
    <mergeCell ref="N38:N39"/>
    <mergeCell ref="P38:P39"/>
    <mergeCell ref="R38:R39"/>
    <mergeCell ref="S38:S39"/>
    <mergeCell ref="T38:T39"/>
    <mergeCell ref="V34:V35"/>
    <mergeCell ref="W34:W35"/>
    <mergeCell ref="L36:L37"/>
    <mergeCell ref="N36:N37"/>
    <mergeCell ref="P36:P37"/>
    <mergeCell ref="R36:R37"/>
    <mergeCell ref="S36:S37"/>
    <mergeCell ref="T36:T37"/>
    <mergeCell ref="V36:V37"/>
    <mergeCell ref="W36:W37"/>
    <mergeCell ref="L34:L35"/>
    <mergeCell ref="N34:N35"/>
    <mergeCell ref="P34:P35"/>
    <mergeCell ref="R34:R35"/>
    <mergeCell ref="S34:S35"/>
    <mergeCell ref="T34:T35"/>
    <mergeCell ref="V30:V31"/>
    <mergeCell ref="W30:W31"/>
    <mergeCell ref="L32:L33"/>
    <mergeCell ref="N32:N33"/>
    <mergeCell ref="P32:P33"/>
    <mergeCell ref="R32:R33"/>
    <mergeCell ref="S32:S33"/>
    <mergeCell ref="T32:T33"/>
    <mergeCell ref="V32:V33"/>
    <mergeCell ref="W32:W33"/>
    <mergeCell ref="L30:L31"/>
    <mergeCell ref="N30:N31"/>
    <mergeCell ref="P30:P31"/>
    <mergeCell ref="R30:R31"/>
    <mergeCell ref="S30:S31"/>
    <mergeCell ref="T30:T31"/>
    <mergeCell ref="V26:V27"/>
    <mergeCell ref="W26:W27"/>
    <mergeCell ref="L28:L29"/>
    <mergeCell ref="N28:N29"/>
    <mergeCell ref="P28:P29"/>
    <mergeCell ref="R28:R29"/>
    <mergeCell ref="S28:S29"/>
    <mergeCell ref="T28:T29"/>
    <mergeCell ref="V28:V29"/>
    <mergeCell ref="W28:W29"/>
    <mergeCell ref="L26:L27"/>
    <mergeCell ref="N26:N27"/>
    <mergeCell ref="P26:P27"/>
    <mergeCell ref="R26:R27"/>
    <mergeCell ref="S26:S27"/>
    <mergeCell ref="T26:T27"/>
    <mergeCell ref="V22:V23"/>
    <mergeCell ref="W22:W23"/>
    <mergeCell ref="L24:L25"/>
    <mergeCell ref="N24:N25"/>
    <mergeCell ref="P24:P25"/>
    <mergeCell ref="R24:R25"/>
    <mergeCell ref="S24:S25"/>
    <mergeCell ref="T24:T25"/>
    <mergeCell ref="V24:V25"/>
    <mergeCell ref="W24:W25"/>
    <mergeCell ref="L22:L23"/>
    <mergeCell ref="N22:N23"/>
    <mergeCell ref="P22:P23"/>
    <mergeCell ref="R22:R23"/>
    <mergeCell ref="S22:S23"/>
    <mergeCell ref="T22:T23"/>
    <mergeCell ref="V18:V19"/>
    <mergeCell ref="W18:W19"/>
    <mergeCell ref="L20:L21"/>
    <mergeCell ref="N20:N21"/>
    <mergeCell ref="P20:P21"/>
    <mergeCell ref="R20:R21"/>
    <mergeCell ref="S20:S21"/>
    <mergeCell ref="T20:T21"/>
    <mergeCell ref="V20:V21"/>
    <mergeCell ref="W20:W21"/>
    <mergeCell ref="L18:L19"/>
    <mergeCell ref="N18:N19"/>
    <mergeCell ref="P18:P19"/>
    <mergeCell ref="R18:R19"/>
    <mergeCell ref="S18:S19"/>
    <mergeCell ref="T18:T19"/>
    <mergeCell ref="V14:V15"/>
    <mergeCell ref="W14:W15"/>
    <mergeCell ref="L16:L17"/>
    <mergeCell ref="N16:N17"/>
    <mergeCell ref="P16:P17"/>
    <mergeCell ref="R16:R17"/>
    <mergeCell ref="S16:S17"/>
    <mergeCell ref="T16:T17"/>
    <mergeCell ref="V16:V17"/>
    <mergeCell ref="W16:W17"/>
    <mergeCell ref="L14:L15"/>
    <mergeCell ref="N14:N15"/>
    <mergeCell ref="P14:P15"/>
    <mergeCell ref="R14:R15"/>
    <mergeCell ref="S14:S15"/>
    <mergeCell ref="T14:T15"/>
    <mergeCell ref="V10:V11"/>
    <mergeCell ref="W10:W11"/>
    <mergeCell ref="L12:L13"/>
    <mergeCell ref="N12:N13"/>
    <mergeCell ref="P12:P13"/>
    <mergeCell ref="R12:R13"/>
    <mergeCell ref="S12:S13"/>
    <mergeCell ref="T12:T13"/>
    <mergeCell ref="V12:V13"/>
    <mergeCell ref="W12:W13"/>
    <mergeCell ref="L10:L11"/>
    <mergeCell ref="N10:N11"/>
    <mergeCell ref="P10:P11"/>
    <mergeCell ref="R10:R11"/>
    <mergeCell ref="S10:S11"/>
    <mergeCell ref="T10:T11"/>
    <mergeCell ref="V6:V7"/>
    <mergeCell ref="W6:W7"/>
    <mergeCell ref="L8:L9"/>
    <mergeCell ref="N8:N9"/>
    <mergeCell ref="P8:P9"/>
    <mergeCell ref="R8:R9"/>
    <mergeCell ref="S8:S9"/>
    <mergeCell ref="T8:T9"/>
    <mergeCell ref="V8:V9"/>
    <mergeCell ref="W8:W9"/>
    <mergeCell ref="L6:L7"/>
    <mergeCell ref="N6:N7"/>
    <mergeCell ref="P6:P7"/>
    <mergeCell ref="R6:R7"/>
    <mergeCell ref="S6:S7"/>
    <mergeCell ref="T6:T7"/>
    <mergeCell ref="V2:V3"/>
    <mergeCell ref="W2:W3"/>
    <mergeCell ref="L4:L5"/>
    <mergeCell ref="N4:N5"/>
    <mergeCell ref="P4:P5"/>
    <mergeCell ref="R4:R5"/>
    <mergeCell ref="S4:S5"/>
    <mergeCell ref="T4:T5"/>
    <mergeCell ref="V4:V5"/>
    <mergeCell ref="W4:W5"/>
    <mergeCell ref="L2:L3"/>
    <mergeCell ref="N2:N3"/>
    <mergeCell ref="P2:P3"/>
    <mergeCell ref="R2:R3"/>
    <mergeCell ref="S2:S3"/>
    <mergeCell ref="T2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FRANCESCA BALDINI</dc:creator>
  <cp:lastModifiedBy>MARIA FRANCESCA BALDINI</cp:lastModifiedBy>
  <dcterms:created xsi:type="dcterms:W3CDTF">2026-02-04T09:15:27Z</dcterms:created>
  <dcterms:modified xsi:type="dcterms:W3CDTF">2026-02-04T10:26:52Z</dcterms:modified>
</cp:coreProperties>
</file>